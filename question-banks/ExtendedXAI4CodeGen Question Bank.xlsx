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MSE_XAI4Code\GitHubRepo\XAI4CodeGen\question-banks\"/>
    </mc:Choice>
  </mc:AlternateContent>
  <xr:revisionPtr revIDLastSave="0" documentId="13_ncr:1_{AB2BBA40-D52C-4C27-AE05-992E24D45F38}" xr6:coauthVersionLast="47" xr6:coauthVersionMax="47" xr10:uidLastSave="{00000000-0000-0000-0000-000000000000}"/>
  <bookViews>
    <workbookView xWindow="-108" yWindow="-108" windowWidth="23256" windowHeight="12456" xr2:uid="{404B2DA8-1B19-4619-B5A2-DE5C7373474A}"/>
  </bookViews>
  <sheets>
    <sheet name="Extended XAI4CodeGenQB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3" l="1"/>
  <c r="D59" i="3"/>
  <c r="D56" i="3"/>
  <c r="D55" i="3"/>
  <c r="D52" i="3"/>
  <c r="D51" i="3"/>
  <c r="D47" i="3"/>
  <c r="D48" i="3"/>
  <c r="D46" i="3"/>
  <c r="D41" i="3"/>
  <c r="D42" i="3"/>
  <c r="D43" i="3"/>
  <c r="D40" i="3"/>
  <c r="D36" i="3"/>
  <c r="D37" i="3"/>
  <c r="D35" i="3"/>
  <c r="D31" i="3"/>
  <c r="D32" i="3"/>
  <c r="D30" i="3"/>
  <c r="D24" i="3"/>
  <c r="D25" i="3"/>
  <c r="D26" i="3"/>
  <c r="D23" i="3"/>
  <c r="D18" i="3"/>
  <c r="D19" i="3"/>
  <c r="D20" i="3"/>
  <c r="D10" i="3"/>
  <c r="D12" i="3"/>
  <c r="D9" i="3"/>
  <c r="D3" i="3"/>
  <c r="D4" i="3"/>
  <c r="D2" i="3"/>
</calcChain>
</file>

<file path=xl/sharedStrings.xml><?xml version="1.0" encoding="utf-8"?>
<sst xmlns="http://schemas.openxmlformats.org/spreadsheetml/2006/main" count="302" uniqueCount="149">
  <si>
    <t>Category</t>
  </si>
  <si>
    <t>How</t>
  </si>
  <si>
    <t>XAI4CodeGenQB</t>
  </si>
  <si>
    <t xml:space="preserve">How exactly does it generate code? </t>
  </si>
  <si>
    <t>How does the translation enforce the dynamic typing rules of Python?</t>
  </si>
  <si>
    <t>Can this AI use design patterns?</t>
  </si>
  <si>
    <t>Does the AI optimize for big O?</t>
  </si>
  <si>
    <t>How does the model handle domain-specific logic during code generation?</t>
  </si>
  <si>
    <t>What internal representations (e.g., embeddings, ASTs)are used during code generation?</t>
  </si>
  <si>
    <t>XAI4CodeGenQB+Expansion Prompt</t>
  </si>
  <si>
    <t>Source</t>
  </si>
  <si>
    <t>Input</t>
  </si>
  <si>
    <t>How does the AI infer user intent from ambiguous or incomplete prompts?</t>
  </si>
  <si>
    <t>Input Understanding</t>
  </si>
  <si>
    <t>Can I receive feedback on missing or unclear input specifications before generation?</t>
  </si>
  <si>
    <t>Input Validation</t>
  </si>
  <si>
    <t>What assumptions does the model make when default values or parameters are not specified?</t>
  </si>
  <si>
    <t>Input Assumptions</t>
  </si>
  <si>
    <t>Output</t>
  </si>
  <si>
    <t>Does the generated code follow current best practices in the target language?</t>
  </si>
  <si>
    <t>Output Quality</t>
  </si>
  <si>
    <t>Is the generated code idiomatic and maintainable according to human standards?</t>
  </si>
  <si>
    <t>Human Alignment</t>
  </si>
  <si>
    <t>Does the AI generate unit tests or suggest test coverage for the code?</t>
  </si>
  <si>
    <t>Testing Support</t>
  </si>
  <si>
    <t>How does the AI ensure compatibility of generated code with modern dependencies?</t>
  </si>
  <si>
    <t>Code Environment Compatibility</t>
  </si>
  <si>
    <t>Model Internals</t>
  </si>
  <si>
    <t>Domain Awareness</t>
  </si>
  <si>
    <t>Performance</t>
  </si>
  <si>
    <t>How does the accuracy of the model vary with different prompt styles or lengths?</t>
  </si>
  <si>
    <t>Model Robustness</t>
  </si>
  <si>
    <t>Does model confidence correlate with actual correctness of the output code?</t>
  </si>
  <si>
    <t>Reliability</t>
  </si>
  <si>
    <t>How scalable is the model for large and complex software tasks?</t>
  </si>
  <si>
    <t>Scalability</t>
  </si>
  <si>
    <t>How to</t>
  </si>
  <si>
    <t>How can I guide the model to use specific algorithms or patterns?</t>
  </si>
  <si>
    <t>Control Mechanisms</t>
  </si>
  <si>
    <t>Can I influence the level of abstraction or granularity in generated code?</t>
  </si>
  <si>
    <t>Output Customization</t>
  </si>
  <si>
    <t>Control</t>
  </si>
  <si>
    <t>Can I prioritize runtime efficiency vs. readability in the output?</t>
  </si>
  <si>
    <t>Optimization Trade-offs</t>
  </si>
  <si>
    <t>Is there a way to lock parts of the prompt so the model respects certain constraints?</t>
  </si>
  <si>
    <t>Prompt Fidelity</t>
  </si>
  <si>
    <t>Why/Why not</t>
  </si>
  <si>
    <t>Why did the model choose one library or API over another?</t>
  </si>
  <si>
    <t>Decision Rationale</t>
  </si>
  <si>
    <t>Why was a specific data structure selected in the generated solution?</t>
  </si>
  <si>
    <t>Code Design Choice</t>
  </si>
  <si>
    <t>Data</t>
  </si>
  <si>
    <t>Can I audit or inspect the type and source of training data relevant to my prompt?</t>
  </si>
  <si>
    <t>Training Data Transparency</t>
  </si>
  <si>
    <t>How recent is the training data the model uses for its predictions?</t>
  </si>
  <si>
    <t>Temporal Relevance</t>
  </si>
  <si>
    <t>Limitations</t>
  </si>
  <si>
    <t>What specific code domains or languages does the model struggle with?</t>
  </si>
  <si>
    <t>Known Weaknesses</t>
  </si>
  <si>
    <t>What types of bugs or errors is the model most prone to introducing?</t>
  </si>
  <si>
    <t>Common Error Modes</t>
  </si>
  <si>
    <t>What if</t>
  </si>
  <si>
    <t>What happens if I input code that mixes multiple programming paradigms?</t>
  </si>
  <si>
    <t>Input Ambiguity</t>
  </si>
  <si>
    <t>How does the model behave when code with logical contradictions is presented?</t>
  </si>
  <si>
    <t>Fault Tolerance</t>
  </si>
  <si>
    <t>Sys Reqs and Impact</t>
  </si>
  <si>
    <t>What are the computational costs of using this model for code generation at scale?</t>
  </si>
  <si>
    <t>Resource Efficiency</t>
  </si>
  <si>
    <t>How can I integrate this AI tool within my existing software development toolchain?</t>
  </si>
  <si>
    <t>Tool Compatibility</t>
  </si>
  <si>
    <t>What kind of input can the AI reasonably generate code from?</t>
  </si>
  <si>
    <t>What types of [data types, data structures, algorithm...] does the AI understand?</t>
  </si>
  <si>
    <t>How specific does the input need to be to get a good output?</t>
  </si>
  <si>
    <t>Is there certain thing I need to specify to get a good output?</t>
  </si>
  <si>
    <t>Will this produce idiomatic Python code, or a 1:1 translation?</t>
  </si>
  <si>
    <t>Will the translated code have the same [variable name, complexity, etc.] as the original?</t>
  </si>
  <si>
    <t>Will there be automated tests generated?</t>
  </si>
  <si>
    <t>Can the model generate code that does error/exception handling correctly?</t>
  </si>
  <si>
    <t>How exactly does it generate code?</t>
  </si>
  <si>
    <t>How correct is the translation guaranteed to be?</t>
  </si>
  <si>
    <t>How confident is the AI about the solution?</t>
  </si>
  <si>
    <t>How will the performance be for code of larger inputs?</t>
  </si>
  <si>
    <t>How much time will it take to translate the code?</t>
  </si>
  <si>
    <t>Can I give hints or specify my problem better to improve the model’s output?</t>
  </si>
  <si>
    <t>How can I get the AI to write more efficient code?</t>
  </si>
  <si>
    <t>How can I optimize for one type of output over another?</t>
  </si>
  <si>
    <t>Can I select a preference for [datatypes, packages, etc.] used?</t>
  </si>
  <si>
    <t>Can I tune the translation?</t>
  </si>
  <si>
    <t>Can I set specific regional settings?</t>
  </si>
  <si>
    <t>Why didn’t my input work?</t>
  </si>
  <si>
    <t>How did the AI recognize the function from comments in this task?</t>
  </si>
  <si>
    <t>Why did the AI think that its code satisfied the requirement?</t>
  </si>
  <si>
    <t>Why did that 4th attempt with the least programming thinking give a good result?</t>
  </si>
  <si>
    <t>What data was this trained on?</t>
  </si>
  <si>
    <t>What kind of training set was the AI built with?</t>
  </si>
  <si>
    <t>Where does the code data the AI was trained on come from?</t>
  </si>
  <si>
    <t>What are the hardware requirements for using the system?</t>
  </si>
  <si>
    <t>Can I use the system in [a closed source project, my development environment, etc]?</t>
  </si>
  <si>
    <t>What is the energy consumption for using the model?</t>
  </si>
  <si>
    <t>What limits are there to the model’s function?</t>
  </si>
  <si>
    <t>What scenarios does it cover or not cover?</t>
  </si>
  <si>
    <t>What to return if the input is invalid?</t>
  </si>
  <si>
    <t>What if I am translating from a language that does not allow overflow?</t>
  </si>
  <si>
    <t>📥 Input Scope &amp; Understanding</t>
  </si>
  <si>
    <t>Question</t>
  </si>
  <si>
    <t>Concern Category</t>
  </si>
  <si>
    <t>Input Scope</t>
  </si>
  <si>
    <t>Model Understanding Capabilities</t>
  </si>
  <si>
    <t>Input Specificity Requirements</t>
  </si>
  <si>
    <t>Is there a certain thing I need to specify to get a good output?</t>
  </si>
  <si>
    <t>Input Specification Sensitivity</t>
  </si>
  <si>
    <t>Prompt Refinement Control</t>
  </si>
  <si>
    <t>Input Failure Explanation</t>
  </si>
  <si>
    <t>🔁 Code Behavior &amp; Translation Quality</t>
  </si>
  <si>
    <t>Translation Fidelity</t>
  </si>
  <si>
    <t>Translation Consistency</t>
  </si>
  <si>
    <t>Error Handling Capability</t>
  </si>
  <si>
    <t>Code Generation Process Transparency</t>
  </si>
  <si>
    <t>Language Semantics Handling</t>
  </si>
  <si>
    <t>Design Pattern Support</t>
  </si>
  <si>
    <t>Algorithmic Optimization Awareness</t>
  </si>
  <si>
    <t>Output Correctness Guarantee</t>
  </si>
  <si>
    <t>Model Confidence Disclosure</t>
  </si>
  <si>
    <t>Scalability of Output</t>
  </si>
  <si>
    <t>Translation Latency</t>
  </si>
  <si>
    <t>Output Efficiency Control</t>
  </si>
  <si>
    <t>Output Optimization Flexibility</t>
  </si>
  <si>
    <t>Output Customization Options</t>
  </si>
  <si>
    <t>Translation Tuning Capability</t>
  </si>
  <si>
    <t>Localization Support</t>
  </si>
  <si>
    <t>🧠 Model Reasoning Transparency</t>
  </si>
  <si>
    <t>Inference Traceability</t>
  </si>
  <si>
    <t>Requirement Satisfaction Explanation</t>
  </si>
  <si>
    <t>Unexpected Success Explanation</t>
  </si>
  <si>
    <t>📚 Model Training &amp; Provenance</t>
  </si>
  <si>
    <t>Training Data Provenance</t>
  </si>
  <si>
    <t>Dataset Composition Disclosure</t>
  </si>
  <si>
    <t>Training Data Source Transparency</t>
  </si>
  <si>
    <t>⚙️ Deployment &amp; Usability Constraints</t>
  </si>
  <si>
    <t>System Requirements</t>
  </si>
  <si>
    <t>Deployment Licensing Constraints</t>
  </si>
  <si>
    <t>Sustainability Impact</t>
  </si>
  <si>
    <t>System Limitations</t>
  </si>
  <si>
    <t>Coverage Boundaries</t>
  </si>
  <si>
    <t>Invalid Input Handling</t>
  </si>
  <si>
    <t>Edge Case Handling</t>
  </si>
  <si>
    <t>Sr No</t>
  </si>
  <si>
    <t>XAI4CodeGenQB with additional new questions in Bold font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</si>
</sst>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0" fillId="33" borderId="0" xfId="0" applyFill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0F46F-59A6-4E7D-B390-F62033EFEAE2}">
  <sheetPr>
    <pageSetUpPr fitToPage="1"/>
  </sheetPr>
  <dimension ref="A1:H87"/>
  <sheetViews>
    <sheetView tabSelected="1" workbookViewId="0">
      <selection activeCell="C2" sqref="C2"/>
    </sheetView>
  </sheetViews>
  <sheetFormatPr defaultRowHeight="14.4" x14ac:dyDescent="0.3"/>
  <cols>
    <col min="2" max="2" width="7" customWidth="1"/>
    <col min="3" max="3" width="72.33203125" customWidth="1"/>
    <col min="4" max="4" width="33.21875" bestFit="1" customWidth="1"/>
    <col min="5" max="5" width="34" customWidth="1"/>
    <col min="7" max="7" width="26.5546875" customWidth="1"/>
  </cols>
  <sheetData>
    <row r="1" spans="1:8" x14ac:dyDescent="0.3">
      <c r="A1" s="3" t="s">
        <v>147</v>
      </c>
      <c r="B1" s="3" t="s">
        <v>0</v>
      </c>
      <c r="C1" s="4" t="s">
        <v>148</v>
      </c>
      <c r="D1" s="4" t="s">
        <v>106</v>
      </c>
      <c r="E1" s="3" t="s">
        <v>10</v>
      </c>
      <c r="G1" t="s">
        <v>104</v>
      </c>
    </row>
    <row r="2" spans="1:8" x14ac:dyDescent="0.3">
      <c r="A2">
        <v>1</v>
      </c>
      <c r="B2" t="s">
        <v>11</v>
      </c>
      <c r="C2" s="1" t="s">
        <v>71</v>
      </c>
      <c r="D2" s="1" t="str">
        <f>VLOOKUP(C2,G$1:H$58,2,FALSE)</f>
        <v>Input Scope</v>
      </c>
      <c r="E2" t="s">
        <v>2</v>
      </c>
    </row>
    <row r="3" spans="1:8" x14ac:dyDescent="0.3">
      <c r="A3">
        <v>2</v>
      </c>
      <c r="B3" t="s">
        <v>11</v>
      </c>
      <c r="C3" s="1" t="s">
        <v>72</v>
      </c>
      <c r="D3" s="1" t="str">
        <f>VLOOKUP(C3,G$1:H$58,2,FALSE)</f>
        <v>Model Understanding Capabilities</v>
      </c>
      <c r="E3" t="s">
        <v>2</v>
      </c>
      <c r="G3" t="s">
        <v>105</v>
      </c>
      <c r="H3" t="s">
        <v>106</v>
      </c>
    </row>
    <row r="4" spans="1:8" x14ac:dyDescent="0.3">
      <c r="A4">
        <v>3</v>
      </c>
      <c r="B4" t="s">
        <v>11</v>
      </c>
      <c r="C4" s="1" t="s">
        <v>73</v>
      </c>
      <c r="D4" s="1" t="str">
        <f>VLOOKUP(C4,G$1:H$58,2,FALSE)</f>
        <v>Input Specificity Requirements</v>
      </c>
      <c r="E4" t="s">
        <v>2</v>
      </c>
      <c r="G4" t="s">
        <v>71</v>
      </c>
      <c r="H4" t="s">
        <v>107</v>
      </c>
    </row>
    <row r="5" spans="1:8" x14ac:dyDescent="0.3">
      <c r="A5">
        <v>4</v>
      </c>
      <c r="B5" t="s">
        <v>11</v>
      </c>
      <c r="C5" s="1" t="s">
        <v>74</v>
      </c>
      <c r="D5" s="1" t="s">
        <v>111</v>
      </c>
      <c r="E5" t="s">
        <v>2</v>
      </c>
      <c r="G5" t="s">
        <v>72</v>
      </c>
      <c r="H5" t="s">
        <v>108</v>
      </c>
    </row>
    <row r="6" spans="1:8" x14ac:dyDescent="0.3">
      <c r="A6">
        <v>5</v>
      </c>
      <c r="B6" t="s">
        <v>11</v>
      </c>
      <c r="C6" s="2" t="s">
        <v>12</v>
      </c>
      <c r="D6" s="1" t="s">
        <v>13</v>
      </c>
      <c r="E6" t="s">
        <v>9</v>
      </c>
      <c r="G6" t="s">
        <v>73</v>
      </c>
      <c r="H6" t="s">
        <v>109</v>
      </c>
    </row>
    <row r="7" spans="1:8" x14ac:dyDescent="0.3">
      <c r="A7">
        <v>6</v>
      </c>
      <c r="B7" t="s">
        <v>11</v>
      </c>
      <c r="C7" s="2" t="s">
        <v>14</v>
      </c>
      <c r="D7" s="1" t="s">
        <v>15</v>
      </c>
      <c r="E7" t="s">
        <v>9</v>
      </c>
      <c r="G7" t="s">
        <v>110</v>
      </c>
      <c r="H7" t="s">
        <v>111</v>
      </c>
    </row>
    <row r="8" spans="1:8" ht="14.4" customHeight="1" x14ac:dyDescent="0.3">
      <c r="A8">
        <v>7</v>
      </c>
      <c r="B8" t="s">
        <v>11</v>
      </c>
      <c r="C8" s="2" t="s">
        <v>16</v>
      </c>
      <c r="D8" s="1" t="s">
        <v>17</v>
      </c>
      <c r="E8" t="s">
        <v>9</v>
      </c>
      <c r="G8" t="s">
        <v>84</v>
      </c>
      <c r="H8" t="s">
        <v>112</v>
      </c>
    </row>
    <row r="9" spans="1:8" ht="14.4" customHeight="1" x14ac:dyDescent="0.3">
      <c r="A9">
        <v>8</v>
      </c>
      <c r="B9" t="s">
        <v>18</v>
      </c>
      <c r="C9" s="1" t="s">
        <v>75</v>
      </c>
      <c r="D9" s="1" t="str">
        <f>VLOOKUP(C9,G$1:H$58,2,FALSE)</f>
        <v>Translation Fidelity</v>
      </c>
      <c r="E9" t="s">
        <v>2</v>
      </c>
      <c r="G9" t="s">
        <v>90</v>
      </c>
      <c r="H9" t="s">
        <v>113</v>
      </c>
    </row>
    <row r="10" spans="1:8" ht="14.4" customHeight="1" x14ac:dyDescent="0.3">
      <c r="A10">
        <v>9</v>
      </c>
      <c r="B10" t="s">
        <v>18</v>
      </c>
      <c r="C10" s="1" t="s">
        <v>76</v>
      </c>
      <c r="D10" s="1" t="str">
        <f>VLOOKUP(C10,G$1:H$58,2,FALSE)</f>
        <v>Translation Consistency</v>
      </c>
      <c r="E10" t="s">
        <v>2</v>
      </c>
    </row>
    <row r="11" spans="1:8" ht="14.4" customHeight="1" x14ac:dyDescent="0.3">
      <c r="A11">
        <v>10</v>
      </c>
      <c r="B11" t="s">
        <v>18</v>
      </c>
      <c r="C11" s="1" t="s">
        <v>77</v>
      </c>
      <c r="D11" s="1" t="s">
        <v>24</v>
      </c>
      <c r="E11" t="s">
        <v>2</v>
      </c>
    </row>
    <row r="12" spans="1:8" ht="14.4" customHeight="1" x14ac:dyDescent="0.3">
      <c r="A12">
        <v>11</v>
      </c>
      <c r="B12" t="s">
        <v>18</v>
      </c>
      <c r="C12" s="1" t="s">
        <v>78</v>
      </c>
      <c r="D12" s="1" t="str">
        <f>VLOOKUP(C12,G$1:H$58,2,FALSE)</f>
        <v>Error Handling Capability</v>
      </c>
      <c r="E12" t="s">
        <v>2</v>
      </c>
      <c r="G12" t="s">
        <v>114</v>
      </c>
    </row>
    <row r="13" spans="1:8" x14ac:dyDescent="0.3">
      <c r="A13">
        <v>12</v>
      </c>
      <c r="B13" t="s">
        <v>18</v>
      </c>
      <c r="C13" s="2" t="s">
        <v>19</v>
      </c>
      <c r="D13" s="1" t="s">
        <v>20</v>
      </c>
      <c r="E13" t="s">
        <v>9</v>
      </c>
    </row>
    <row r="14" spans="1:8" ht="18" customHeight="1" x14ac:dyDescent="0.3">
      <c r="A14">
        <v>13</v>
      </c>
      <c r="B14" t="s">
        <v>18</v>
      </c>
      <c r="C14" s="2" t="s">
        <v>21</v>
      </c>
      <c r="D14" s="1" t="s">
        <v>22</v>
      </c>
      <c r="E14" t="s">
        <v>9</v>
      </c>
      <c r="G14" t="s">
        <v>105</v>
      </c>
      <c r="H14" t="s">
        <v>106</v>
      </c>
    </row>
    <row r="15" spans="1:8" x14ac:dyDescent="0.3">
      <c r="A15">
        <v>14</v>
      </c>
      <c r="B15" t="s">
        <v>18</v>
      </c>
      <c r="C15" s="2" t="s">
        <v>23</v>
      </c>
      <c r="D15" s="1" t="s">
        <v>24</v>
      </c>
      <c r="E15" t="s">
        <v>9</v>
      </c>
      <c r="G15" t="s">
        <v>75</v>
      </c>
      <c r="H15" t="s">
        <v>115</v>
      </c>
    </row>
    <row r="16" spans="1:8" x14ac:dyDescent="0.3">
      <c r="A16">
        <v>15</v>
      </c>
      <c r="B16" t="s">
        <v>18</v>
      </c>
      <c r="C16" s="2" t="s">
        <v>25</v>
      </c>
      <c r="D16" s="1" t="s">
        <v>26</v>
      </c>
      <c r="E16" t="s">
        <v>9</v>
      </c>
      <c r="G16" t="s">
        <v>76</v>
      </c>
      <c r="H16" t="s">
        <v>116</v>
      </c>
    </row>
    <row r="17" spans="1:8" x14ac:dyDescent="0.3">
      <c r="A17">
        <v>16</v>
      </c>
      <c r="B17" t="s">
        <v>1</v>
      </c>
      <c r="C17" s="1" t="s">
        <v>3</v>
      </c>
      <c r="D17" s="1" t="s">
        <v>118</v>
      </c>
      <c r="E17" t="s">
        <v>2</v>
      </c>
      <c r="G17" t="s">
        <v>78</v>
      </c>
      <c r="H17" t="s">
        <v>117</v>
      </c>
    </row>
    <row r="18" spans="1:8" x14ac:dyDescent="0.3">
      <c r="A18">
        <v>17</v>
      </c>
      <c r="B18" t="s">
        <v>1</v>
      </c>
      <c r="C18" s="1" t="s">
        <v>4</v>
      </c>
      <c r="D18" s="1" t="str">
        <f>VLOOKUP(C18,G$1:H$58,2,FALSE)</f>
        <v>Language Semantics Handling</v>
      </c>
      <c r="E18" t="s">
        <v>2</v>
      </c>
      <c r="G18" t="s">
        <v>79</v>
      </c>
      <c r="H18" t="s">
        <v>118</v>
      </c>
    </row>
    <row r="19" spans="1:8" x14ac:dyDescent="0.3">
      <c r="A19">
        <v>18</v>
      </c>
      <c r="B19" t="s">
        <v>1</v>
      </c>
      <c r="C19" s="1" t="s">
        <v>5</v>
      </c>
      <c r="D19" s="1" t="str">
        <f>VLOOKUP(C19,G$1:H$58,2,FALSE)</f>
        <v>Design Pattern Support</v>
      </c>
      <c r="E19" t="s">
        <v>2</v>
      </c>
      <c r="G19" t="s">
        <v>4</v>
      </c>
      <c r="H19" t="s">
        <v>119</v>
      </c>
    </row>
    <row r="20" spans="1:8" x14ac:dyDescent="0.3">
      <c r="A20">
        <v>19</v>
      </c>
      <c r="B20" t="s">
        <v>1</v>
      </c>
      <c r="C20" s="1" t="s">
        <v>6</v>
      </c>
      <c r="D20" s="1" t="str">
        <f>VLOOKUP(C20,G$1:H$58,2,FALSE)</f>
        <v>Algorithmic Optimization Awareness</v>
      </c>
      <c r="E20" t="s">
        <v>2</v>
      </c>
      <c r="G20" t="s">
        <v>5</v>
      </c>
      <c r="H20" t="s">
        <v>120</v>
      </c>
    </row>
    <row r="21" spans="1:8" x14ac:dyDescent="0.3">
      <c r="A21">
        <v>20</v>
      </c>
      <c r="B21" t="s">
        <v>1</v>
      </c>
      <c r="C21" s="2" t="s">
        <v>8</v>
      </c>
      <c r="D21" s="1" t="s">
        <v>27</v>
      </c>
      <c r="E21" t="s">
        <v>9</v>
      </c>
      <c r="G21" t="s">
        <v>6</v>
      </c>
      <c r="H21" t="s">
        <v>121</v>
      </c>
    </row>
    <row r="22" spans="1:8" x14ac:dyDescent="0.3">
      <c r="A22">
        <v>21</v>
      </c>
      <c r="B22" t="s">
        <v>1</v>
      </c>
      <c r="C22" s="2" t="s">
        <v>7</v>
      </c>
      <c r="D22" s="1" t="s">
        <v>28</v>
      </c>
      <c r="E22" t="s">
        <v>9</v>
      </c>
      <c r="G22" t="s">
        <v>80</v>
      </c>
      <c r="H22" t="s">
        <v>122</v>
      </c>
    </row>
    <row r="23" spans="1:8" x14ac:dyDescent="0.3">
      <c r="A23">
        <v>22</v>
      </c>
      <c r="B23" t="s">
        <v>29</v>
      </c>
      <c r="C23" s="1" t="s">
        <v>80</v>
      </c>
      <c r="D23" s="1" t="str">
        <f>VLOOKUP(C23,G$1:H$58,2,FALSE)</f>
        <v>Output Correctness Guarantee</v>
      </c>
      <c r="E23" t="s">
        <v>2</v>
      </c>
      <c r="G23" t="s">
        <v>81</v>
      </c>
      <c r="H23" t="s">
        <v>123</v>
      </c>
    </row>
    <row r="24" spans="1:8" x14ac:dyDescent="0.3">
      <c r="A24">
        <v>23</v>
      </c>
      <c r="B24" t="s">
        <v>29</v>
      </c>
      <c r="C24" s="1" t="s">
        <v>81</v>
      </c>
      <c r="D24" s="1" t="str">
        <f>VLOOKUP(C24,G$1:H$58,2,FALSE)</f>
        <v>Model Confidence Disclosure</v>
      </c>
      <c r="E24" t="s">
        <v>2</v>
      </c>
      <c r="G24" t="s">
        <v>82</v>
      </c>
      <c r="H24" t="s">
        <v>124</v>
      </c>
    </row>
    <row r="25" spans="1:8" x14ac:dyDescent="0.3">
      <c r="A25">
        <v>24</v>
      </c>
      <c r="B25" t="s">
        <v>29</v>
      </c>
      <c r="C25" s="1" t="s">
        <v>82</v>
      </c>
      <c r="D25" s="1" t="str">
        <f>VLOOKUP(C25,G$1:H$58,2,FALSE)</f>
        <v>Scalability of Output</v>
      </c>
      <c r="E25" t="s">
        <v>2</v>
      </c>
      <c r="G25" t="s">
        <v>83</v>
      </c>
      <c r="H25" t="s">
        <v>125</v>
      </c>
    </row>
    <row r="26" spans="1:8" x14ac:dyDescent="0.3">
      <c r="A26">
        <v>25</v>
      </c>
      <c r="B26" t="s">
        <v>29</v>
      </c>
      <c r="C26" s="1" t="s">
        <v>83</v>
      </c>
      <c r="D26" s="1" t="str">
        <f>VLOOKUP(C26,G$1:H$58,2,FALSE)</f>
        <v>Translation Latency</v>
      </c>
      <c r="E26" t="s">
        <v>2</v>
      </c>
      <c r="G26" t="s">
        <v>85</v>
      </c>
      <c r="H26" t="s">
        <v>126</v>
      </c>
    </row>
    <row r="27" spans="1:8" x14ac:dyDescent="0.3">
      <c r="A27">
        <v>26</v>
      </c>
      <c r="B27" t="s">
        <v>29</v>
      </c>
      <c r="C27" s="2" t="s">
        <v>30</v>
      </c>
      <c r="D27" s="1" t="s">
        <v>31</v>
      </c>
      <c r="E27" t="s">
        <v>9</v>
      </c>
      <c r="G27" t="s">
        <v>86</v>
      </c>
      <c r="H27" t="s">
        <v>127</v>
      </c>
    </row>
    <row r="28" spans="1:8" x14ac:dyDescent="0.3">
      <c r="A28">
        <v>27</v>
      </c>
      <c r="B28" t="s">
        <v>29</v>
      </c>
      <c r="C28" s="2" t="s">
        <v>32</v>
      </c>
      <c r="D28" s="1" t="s">
        <v>33</v>
      </c>
      <c r="E28" t="s">
        <v>9</v>
      </c>
      <c r="G28" t="s">
        <v>87</v>
      </c>
      <c r="H28" t="s">
        <v>128</v>
      </c>
    </row>
    <row r="29" spans="1:8" x14ac:dyDescent="0.3">
      <c r="A29">
        <v>28</v>
      </c>
      <c r="B29" t="s">
        <v>29</v>
      </c>
      <c r="C29" s="2" t="s">
        <v>34</v>
      </c>
      <c r="D29" s="1" t="s">
        <v>35</v>
      </c>
      <c r="E29" t="s">
        <v>9</v>
      </c>
      <c r="G29" t="s">
        <v>88</v>
      </c>
      <c r="H29" t="s">
        <v>129</v>
      </c>
    </row>
    <row r="30" spans="1:8" x14ac:dyDescent="0.3">
      <c r="A30">
        <v>29</v>
      </c>
      <c r="B30" t="s">
        <v>36</v>
      </c>
      <c r="C30" s="1" t="s">
        <v>84</v>
      </c>
      <c r="D30" s="1" t="str">
        <f>VLOOKUP(C30,G$1:H$58,2,FALSE)</f>
        <v>Prompt Refinement Control</v>
      </c>
      <c r="E30" t="s">
        <v>2</v>
      </c>
      <c r="G30" t="s">
        <v>89</v>
      </c>
      <c r="H30" t="s">
        <v>130</v>
      </c>
    </row>
    <row r="31" spans="1:8" x14ac:dyDescent="0.3">
      <c r="A31">
        <v>30</v>
      </c>
      <c r="B31" t="s">
        <v>36</v>
      </c>
      <c r="C31" s="1" t="s">
        <v>85</v>
      </c>
      <c r="D31" s="1" t="str">
        <f>VLOOKUP(C31,G$1:H$58,2,FALSE)</f>
        <v>Output Efficiency Control</v>
      </c>
      <c r="E31" t="s">
        <v>2</v>
      </c>
    </row>
    <row r="32" spans="1:8" x14ac:dyDescent="0.3">
      <c r="A32">
        <v>31</v>
      </c>
      <c r="B32" t="s">
        <v>36</v>
      </c>
      <c r="C32" s="1" t="s">
        <v>86</v>
      </c>
      <c r="D32" s="1" t="str">
        <f>VLOOKUP(C32,G$1:H$58,2,FALSE)</f>
        <v>Output Optimization Flexibility</v>
      </c>
      <c r="E32" t="s">
        <v>2</v>
      </c>
    </row>
    <row r="33" spans="1:8" ht="27" customHeight="1" x14ac:dyDescent="0.3">
      <c r="A33">
        <v>32</v>
      </c>
      <c r="B33" t="s">
        <v>36</v>
      </c>
      <c r="C33" s="2" t="s">
        <v>37</v>
      </c>
      <c r="D33" s="1" t="s">
        <v>38</v>
      </c>
      <c r="E33" t="s">
        <v>9</v>
      </c>
      <c r="G33" t="s">
        <v>131</v>
      </c>
    </row>
    <row r="34" spans="1:8" x14ac:dyDescent="0.3">
      <c r="A34">
        <v>33</v>
      </c>
      <c r="B34" t="s">
        <v>36</v>
      </c>
      <c r="C34" s="2" t="s">
        <v>39</v>
      </c>
      <c r="D34" s="1" t="s">
        <v>40</v>
      </c>
      <c r="E34" t="s">
        <v>9</v>
      </c>
    </row>
    <row r="35" spans="1:8" x14ac:dyDescent="0.3">
      <c r="A35">
        <v>34</v>
      </c>
      <c r="B35" t="s">
        <v>41</v>
      </c>
      <c r="C35" s="1" t="s">
        <v>87</v>
      </c>
      <c r="D35" s="1" t="str">
        <f>VLOOKUP(C35,G$1:H$58,2,FALSE)</f>
        <v>Output Customization Options</v>
      </c>
      <c r="E35" t="s">
        <v>2</v>
      </c>
      <c r="G35" t="s">
        <v>105</v>
      </c>
      <c r="H35" t="s">
        <v>106</v>
      </c>
    </row>
    <row r="36" spans="1:8" x14ac:dyDescent="0.3">
      <c r="A36">
        <v>35</v>
      </c>
      <c r="B36" t="s">
        <v>41</v>
      </c>
      <c r="C36" s="1" t="s">
        <v>88</v>
      </c>
      <c r="D36" s="1" t="str">
        <f>VLOOKUP(C36,G$1:H$58,2,FALSE)</f>
        <v>Translation Tuning Capability</v>
      </c>
      <c r="E36" t="s">
        <v>2</v>
      </c>
      <c r="G36" t="s">
        <v>91</v>
      </c>
      <c r="H36" t="s">
        <v>132</v>
      </c>
    </row>
    <row r="37" spans="1:8" x14ac:dyDescent="0.3">
      <c r="A37">
        <v>36</v>
      </c>
      <c r="B37" t="s">
        <v>41</v>
      </c>
      <c r="C37" s="1" t="s">
        <v>89</v>
      </c>
      <c r="D37" s="1" t="str">
        <f>VLOOKUP(C37,G$1:H$58,2,FALSE)</f>
        <v>Localization Support</v>
      </c>
      <c r="E37" t="s">
        <v>2</v>
      </c>
      <c r="G37" t="s">
        <v>92</v>
      </c>
      <c r="H37" t="s">
        <v>133</v>
      </c>
    </row>
    <row r="38" spans="1:8" ht="27" customHeight="1" x14ac:dyDescent="0.3">
      <c r="A38">
        <v>37</v>
      </c>
      <c r="B38" t="s">
        <v>41</v>
      </c>
      <c r="C38" s="2" t="s">
        <v>42</v>
      </c>
      <c r="D38" s="1" t="s">
        <v>43</v>
      </c>
      <c r="E38" t="s">
        <v>9</v>
      </c>
      <c r="G38" t="s">
        <v>93</v>
      </c>
      <c r="H38" t="s">
        <v>134</v>
      </c>
    </row>
    <row r="39" spans="1:8" x14ac:dyDescent="0.3">
      <c r="A39">
        <v>38</v>
      </c>
      <c r="B39" t="s">
        <v>41</v>
      </c>
      <c r="C39" s="2" t="s">
        <v>44</v>
      </c>
      <c r="D39" s="1" t="s">
        <v>45</v>
      </c>
      <c r="E39" t="s">
        <v>9</v>
      </c>
    </row>
    <row r="40" spans="1:8" x14ac:dyDescent="0.3">
      <c r="A40">
        <v>39</v>
      </c>
      <c r="B40" t="s">
        <v>46</v>
      </c>
      <c r="C40" s="1" t="s">
        <v>90</v>
      </c>
      <c r="D40" s="1" t="str">
        <f>VLOOKUP(C40,G$1:H$58,2,FALSE)</f>
        <v>Input Failure Explanation</v>
      </c>
      <c r="E40" t="s">
        <v>2</v>
      </c>
    </row>
    <row r="41" spans="1:8" x14ac:dyDescent="0.3">
      <c r="A41">
        <v>40</v>
      </c>
      <c r="B41" t="s">
        <v>46</v>
      </c>
      <c r="C41" s="1" t="s">
        <v>91</v>
      </c>
      <c r="D41" s="1" t="str">
        <f>VLOOKUP(C41,G$1:H$58,2,FALSE)</f>
        <v>Inference Traceability</v>
      </c>
      <c r="E41" t="s">
        <v>2</v>
      </c>
      <c r="G41" t="s">
        <v>135</v>
      </c>
    </row>
    <row r="42" spans="1:8" x14ac:dyDescent="0.3">
      <c r="A42">
        <v>41</v>
      </c>
      <c r="B42" t="s">
        <v>46</v>
      </c>
      <c r="C42" s="1" t="s">
        <v>92</v>
      </c>
      <c r="D42" s="1" t="str">
        <f>VLOOKUP(C42,G$1:H$58,2,FALSE)</f>
        <v>Requirement Satisfaction Explanation</v>
      </c>
      <c r="E42" t="s">
        <v>2</v>
      </c>
    </row>
    <row r="43" spans="1:8" x14ac:dyDescent="0.3">
      <c r="A43">
        <v>42</v>
      </c>
      <c r="B43" t="s">
        <v>46</v>
      </c>
      <c r="C43" s="1" t="s">
        <v>93</v>
      </c>
      <c r="D43" s="1" t="str">
        <f>VLOOKUP(C43,G$1:H$58,2,FALSE)</f>
        <v>Unexpected Success Explanation</v>
      </c>
      <c r="E43" t="s">
        <v>2</v>
      </c>
      <c r="G43" t="s">
        <v>105</v>
      </c>
      <c r="H43" t="s">
        <v>106</v>
      </c>
    </row>
    <row r="44" spans="1:8" x14ac:dyDescent="0.3">
      <c r="A44">
        <v>43</v>
      </c>
      <c r="B44" t="s">
        <v>46</v>
      </c>
      <c r="C44" s="2" t="s">
        <v>47</v>
      </c>
      <c r="D44" s="1" t="s">
        <v>48</v>
      </c>
      <c r="E44" t="s">
        <v>9</v>
      </c>
      <c r="G44" t="s">
        <v>94</v>
      </c>
      <c r="H44" t="s">
        <v>136</v>
      </c>
    </row>
    <row r="45" spans="1:8" x14ac:dyDescent="0.3">
      <c r="A45">
        <v>44</v>
      </c>
      <c r="B45" t="s">
        <v>46</v>
      </c>
      <c r="C45" s="2" t="s">
        <v>49</v>
      </c>
      <c r="D45" s="1" t="s">
        <v>50</v>
      </c>
      <c r="E45" t="s">
        <v>9</v>
      </c>
      <c r="G45" t="s">
        <v>95</v>
      </c>
      <c r="H45" t="s">
        <v>137</v>
      </c>
    </row>
    <row r="46" spans="1:8" x14ac:dyDescent="0.3">
      <c r="A46">
        <v>45</v>
      </c>
      <c r="B46" t="s">
        <v>51</v>
      </c>
      <c r="C46" s="1" t="s">
        <v>94</v>
      </c>
      <c r="D46" s="1" t="str">
        <f>VLOOKUP(C46,G$1:H$58,2,FALSE)</f>
        <v>Training Data Provenance</v>
      </c>
      <c r="E46" t="s">
        <v>2</v>
      </c>
      <c r="G46" t="s">
        <v>96</v>
      </c>
      <c r="H46" t="s">
        <v>138</v>
      </c>
    </row>
    <row r="47" spans="1:8" x14ac:dyDescent="0.3">
      <c r="A47">
        <v>46</v>
      </c>
      <c r="B47" t="s">
        <v>51</v>
      </c>
      <c r="C47" s="1" t="s">
        <v>95</v>
      </c>
      <c r="D47" s="1" t="str">
        <f>VLOOKUP(C47,G$1:H$58,2,FALSE)</f>
        <v>Dataset Composition Disclosure</v>
      </c>
      <c r="E47" t="s">
        <v>2</v>
      </c>
    </row>
    <row r="48" spans="1:8" x14ac:dyDescent="0.3">
      <c r="A48">
        <v>47</v>
      </c>
      <c r="B48" t="s">
        <v>51</v>
      </c>
      <c r="C48" s="1" t="s">
        <v>96</v>
      </c>
      <c r="D48" s="1" t="str">
        <f>VLOOKUP(C48,G$1:H$58,2,FALSE)</f>
        <v>Training Data Source Transparency</v>
      </c>
      <c r="E48" t="s">
        <v>2</v>
      </c>
    </row>
    <row r="49" spans="1:8" x14ac:dyDescent="0.3">
      <c r="A49">
        <v>48</v>
      </c>
      <c r="B49" t="s">
        <v>51</v>
      </c>
      <c r="C49" s="2" t="s">
        <v>52</v>
      </c>
      <c r="D49" s="1" t="s">
        <v>53</v>
      </c>
      <c r="E49" t="s">
        <v>9</v>
      </c>
      <c r="G49" t="s">
        <v>139</v>
      </c>
    </row>
    <row r="50" spans="1:8" x14ac:dyDescent="0.3">
      <c r="A50">
        <v>49</v>
      </c>
      <c r="B50" t="s">
        <v>51</v>
      </c>
      <c r="C50" s="2" t="s">
        <v>54</v>
      </c>
      <c r="D50" s="1" t="s">
        <v>55</v>
      </c>
      <c r="E50" t="s">
        <v>9</v>
      </c>
    </row>
    <row r="51" spans="1:8" x14ac:dyDescent="0.3">
      <c r="A51">
        <v>50</v>
      </c>
      <c r="B51" t="s">
        <v>56</v>
      </c>
      <c r="C51" s="1" t="s">
        <v>100</v>
      </c>
      <c r="D51" s="1" t="str">
        <f>VLOOKUP(C51,G$1:H$58,2,FALSE)</f>
        <v>System Limitations</v>
      </c>
      <c r="E51" t="s">
        <v>2</v>
      </c>
      <c r="G51" t="s">
        <v>105</v>
      </c>
      <c r="H51" t="s">
        <v>106</v>
      </c>
    </row>
    <row r="52" spans="1:8" x14ac:dyDescent="0.3">
      <c r="A52">
        <v>51</v>
      </c>
      <c r="B52" t="s">
        <v>56</v>
      </c>
      <c r="C52" s="1" t="s">
        <v>101</v>
      </c>
      <c r="D52" s="1" t="str">
        <f>VLOOKUP(C52,G$1:H$58,2,FALSE)</f>
        <v>Coverage Boundaries</v>
      </c>
      <c r="E52" t="s">
        <v>2</v>
      </c>
      <c r="G52" t="s">
        <v>97</v>
      </c>
      <c r="H52" t="s">
        <v>140</v>
      </c>
    </row>
    <row r="53" spans="1:8" x14ac:dyDescent="0.3">
      <c r="A53">
        <v>52</v>
      </c>
      <c r="B53" t="s">
        <v>56</v>
      </c>
      <c r="C53" s="2" t="s">
        <v>57</v>
      </c>
      <c r="D53" s="1" t="s">
        <v>58</v>
      </c>
      <c r="E53" t="s">
        <v>9</v>
      </c>
      <c r="G53" t="s">
        <v>98</v>
      </c>
      <c r="H53" t="s">
        <v>141</v>
      </c>
    </row>
    <row r="54" spans="1:8" x14ac:dyDescent="0.3">
      <c r="A54">
        <v>53</v>
      </c>
      <c r="B54" t="s">
        <v>56</v>
      </c>
      <c r="C54" s="2" t="s">
        <v>59</v>
      </c>
      <c r="D54" s="1" t="s">
        <v>60</v>
      </c>
      <c r="E54" t="s">
        <v>9</v>
      </c>
      <c r="G54" t="s">
        <v>99</v>
      </c>
      <c r="H54" t="s">
        <v>142</v>
      </c>
    </row>
    <row r="55" spans="1:8" x14ac:dyDescent="0.3">
      <c r="A55">
        <v>54</v>
      </c>
      <c r="B55" t="s">
        <v>61</v>
      </c>
      <c r="C55" s="1" t="s">
        <v>102</v>
      </c>
      <c r="D55" s="1" t="str">
        <f>VLOOKUP(C55,G$1:H$58,2,FALSE)</f>
        <v>Invalid Input Handling</v>
      </c>
      <c r="E55" t="s">
        <v>2</v>
      </c>
      <c r="G55" t="s">
        <v>100</v>
      </c>
      <c r="H55" t="s">
        <v>143</v>
      </c>
    </row>
    <row r="56" spans="1:8" x14ac:dyDescent="0.3">
      <c r="A56">
        <v>55</v>
      </c>
      <c r="B56" t="s">
        <v>61</v>
      </c>
      <c r="C56" s="1" t="s">
        <v>103</v>
      </c>
      <c r="D56" s="1" t="str">
        <f>VLOOKUP(C56,G$1:H$58,2,FALSE)</f>
        <v>Edge Case Handling</v>
      </c>
      <c r="E56" t="s">
        <v>2</v>
      </c>
      <c r="G56" t="s">
        <v>101</v>
      </c>
      <c r="H56" t="s">
        <v>144</v>
      </c>
    </row>
    <row r="57" spans="1:8" x14ac:dyDescent="0.3">
      <c r="A57">
        <v>56</v>
      </c>
      <c r="B57" t="s">
        <v>61</v>
      </c>
      <c r="C57" s="2" t="s">
        <v>62</v>
      </c>
      <c r="D57" s="1" t="s">
        <v>63</v>
      </c>
      <c r="E57" t="s">
        <v>9</v>
      </c>
      <c r="G57" t="s">
        <v>102</v>
      </c>
      <c r="H57" t="s">
        <v>145</v>
      </c>
    </row>
    <row r="58" spans="1:8" x14ac:dyDescent="0.3">
      <c r="A58">
        <v>57</v>
      </c>
      <c r="B58" t="s">
        <v>61</v>
      </c>
      <c r="C58" s="2" t="s">
        <v>64</v>
      </c>
      <c r="D58" s="1" t="s">
        <v>65</v>
      </c>
      <c r="E58" t="s">
        <v>9</v>
      </c>
      <c r="G58" t="s">
        <v>103</v>
      </c>
      <c r="H58" t="s">
        <v>146</v>
      </c>
    </row>
    <row r="59" spans="1:8" x14ac:dyDescent="0.3">
      <c r="A59">
        <v>58</v>
      </c>
      <c r="B59" t="s">
        <v>66</v>
      </c>
      <c r="C59" s="1" t="s">
        <v>97</v>
      </c>
      <c r="D59" s="1" t="str">
        <f>VLOOKUP(C59,G$1:H$58,2,FALSE)</f>
        <v>System Requirements</v>
      </c>
      <c r="E59" t="s">
        <v>2</v>
      </c>
    </row>
    <row r="60" spans="1:8" x14ac:dyDescent="0.3">
      <c r="A60">
        <v>59</v>
      </c>
      <c r="B60" t="s">
        <v>66</v>
      </c>
      <c r="C60" s="1" t="s">
        <v>98</v>
      </c>
      <c r="D60" s="1" t="str">
        <f>VLOOKUP(C60,G$1:H$58,2,FALSE)</f>
        <v>Deployment Licensing Constraints</v>
      </c>
      <c r="E60" t="s">
        <v>2</v>
      </c>
    </row>
    <row r="61" spans="1:8" x14ac:dyDescent="0.3">
      <c r="A61">
        <v>60</v>
      </c>
      <c r="B61" t="s">
        <v>66</v>
      </c>
      <c r="C61" s="2" t="s">
        <v>67</v>
      </c>
      <c r="D61" s="1" t="s">
        <v>68</v>
      </c>
      <c r="E61" t="s">
        <v>9</v>
      </c>
    </row>
    <row r="62" spans="1:8" x14ac:dyDescent="0.3">
      <c r="A62">
        <v>61</v>
      </c>
      <c r="B62" t="s">
        <v>66</v>
      </c>
      <c r="C62" s="2" t="s">
        <v>69</v>
      </c>
      <c r="D62" s="1" t="s">
        <v>70</v>
      </c>
      <c r="E62" t="s">
        <v>9</v>
      </c>
    </row>
    <row r="85" ht="27" customHeight="1" x14ac:dyDescent="0.3"/>
    <row r="87" ht="27" customHeight="1" x14ac:dyDescent="0.3"/>
  </sheetData>
  <pageMargins left="0.7" right="0.7" top="0.75" bottom="0.75" header="0.3" footer="0.3"/>
  <pageSetup paperSize="9" scale="3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Extended XAI4CodeGenQB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a</dc:creator>
  <cp:lastModifiedBy>s a</cp:lastModifiedBy>
  <cp:lastPrinted>2025-05-31T08:22:53Z</cp:lastPrinted>
  <dcterms:created xsi:type="dcterms:W3CDTF">2025-05-27T12:33:54Z</dcterms:created>
  <dcterms:modified xsi:type="dcterms:W3CDTF">2026-01-19T13:29:40Z</dcterms:modified>
</cp:coreProperties>
</file>