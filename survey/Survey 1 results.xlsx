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Model Engineer Requirements" sheetId="2" r:id="rId6"/>
    <sheet state="visible" name="Model User Requirements" sheetId="3" r:id="rId7"/>
    <sheet state="visible" name="26 New Questions Engineer Plus " sheetId="4" r:id="rId8"/>
  </sheets>
  <definedNames/>
  <calcPr/>
</workbook>
</file>

<file path=xl/sharedStrings.xml><?xml version="1.0" encoding="utf-8"?>
<sst xmlns="http://schemas.openxmlformats.org/spreadsheetml/2006/main" count="320" uniqueCount="130">
  <si>
    <t>Timestamp</t>
  </si>
  <si>
    <t xml:space="preserve">Please select "Yes" to indicate you have read this information and you accept to take the survey:
</t>
  </si>
  <si>
    <t>Please indicate your education subject area</t>
  </si>
  <si>
    <t xml:space="preserve">Please indicate your current education level </t>
  </si>
  <si>
    <t>Please Indicate your current role</t>
  </si>
  <si>
    <t xml:space="preserve">Please indicate the time period during which you have been working with AI tools/models for code generation. </t>
  </si>
  <si>
    <t>Which AI code generation models do you use or interact with</t>
  </si>
  <si>
    <t>Please indicate your interaction with code generation models</t>
  </si>
  <si>
    <t>1) Understanding the attention mechanisms or similar mechanisms used by the model to focus on relevant parts of the input data during code generation can provide insights into how the model makes decisions. 
Rationale: Visualizing attention weights or attention maps can help me understand which parts of the input data are most influential in generating specific code tokens</t>
  </si>
  <si>
    <t>2) Visualizing the internal representation of the code structure learned by the model, such as abstract syntax trees (ASTs) or code embeddings, can provide insights into how the model captures the hierarchical structure and semantic relationships of code snippets. 
Rationale: This visualization can aid in debugging model architecture issues and understanding the learned representations.</t>
  </si>
  <si>
    <t>3) Logging the generation process, including intermediate steps, decisions, and probabilities associated with each generated token, allows me to trace the model's behavior and diagnose performance issues. 
Rationale: Analyzing the generation log can help identify patterns, biases, or errors in the model's output and guide model refinement efforts</t>
  </si>
  <si>
    <t>4) Identifying which input features or representations are most influential in generating specific code tokens or structures can help me understand the factors driving code generation decisions. 
Rationale: Feature importance analysis can guide feature engineering, input preprocessing, and model optimization strategies to enhance the model's performance.</t>
  </si>
  <si>
    <t>5) Analyzing errors made by the model, such as incorrect predictions, syntactic errors, or semantic inconsistencies in the generated code, helps me diagnose model weaknesses and identify areas for improvement. 
Rationale: Understanding the types and patterns of errors made by the model can inform targeted error correction techniques and model updates.</t>
  </si>
  <si>
    <t>6) Incorporating domain-specific knowledge or rules into the model interpretation process can provide insights into how the model performs in specific programming languages, software engineering contexts, or application domains. 
Rationale: This domain-aware interpretation can inform model refinement and customization for different use cases and scenarios.</t>
  </si>
  <si>
    <t>7) Developing tools and utilities for debugging the code generation model, such as techniques for analyzing model gradients, inspecting internal model states, and visualizing model predictions, can streamline the model development process and accelerate troubleshooting efforts.</t>
  </si>
  <si>
    <t>Please add any other thing you may need to better understand and trust the model's decision making</t>
  </si>
  <si>
    <t>1) Provide an explanation of the overall structure and organization of the generated code, including the purpose of each component, the flow of control, and the relationships between different modules or functions.
Rationale: To help understand the high-level design decisions made by the AI model</t>
  </si>
  <si>
    <t>2) Explain the underlying code patterns or design principles used by the AI model to generate code snippets.
Rationale: To help understand the reasoning behind the code generation process. This could include insights into common programming idioms, best practices, and architectural patterns reflected in the generated code.</t>
  </si>
  <si>
    <t>3) Provide contextual information about the input data, such as the input specifications, requirements, constraints, or user intentions
Rationale: To help understand the context in which the code was generated and interpret its relevance and suitability for the given task or problem</t>
  </si>
  <si>
    <t>4) Offer explanations for variable names, function names, and comments included in the generated code.
Rationale: To provide insights into the semantics and intentions behind the code constructs. Clear and meaningful naming conventions and descriptive comments enhance code readability and facilitate comprehension</t>
  </si>
  <si>
    <t>5) Explain the dependencies and external libraries used by the generated code, as well as their purpose and relevance to the task at hand.
Rationale: To help understand the external resources required for the code to function properly and assess any potential dependencies or integration issues</t>
  </si>
  <si>
    <t>6) Present alternative code options or variations generated by the AI model, along with explanations for why each option was considered and the trade-offs involved.
Rationale: To explore different implementation choices and make informed decisions based on the provided insights</t>
  </si>
  <si>
    <t>7) Provide estimates of model confidence or uncertainty associated with the generated code, as well as any limitations or caveats associated with the predictions.
Rationale: To help assess the reliability and trustworthiness of the generated code and make informed judgments about its suitability for deployment.</t>
  </si>
  <si>
    <t xml:space="preserve">Please add any other thing you may need to better understand and trust the code </t>
  </si>
  <si>
    <t>1) How does the AI infer user intent from ambiguous or  incomplete prompts?</t>
  </si>
  <si>
    <t>2) Can I receive feedback on missing or unclear input specifications before generation?</t>
  </si>
  <si>
    <t>3) What assumptions does the model make when default values or parameters are not specified?</t>
  </si>
  <si>
    <t>4) Does the generated code follow current best practices in the target language?</t>
  </si>
  <si>
    <t>5) Is the generated code idiomatic and maintainable according to human standards?</t>
  </si>
  <si>
    <t>6) Does the AI generate unit tests or suggest test coverage for the code?</t>
  </si>
  <si>
    <t>7) How does the AI ensure compatibility of generated code with modern dependencies?</t>
  </si>
  <si>
    <t>8) What internal representations (e.g., embeddings, ASTs)are used during code generation?</t>
  </si>
  <si>
    <t>9) How does the model handle domain-specific logic during code generation?</t>
  </si>
  <si>
    <t>10) How does the accuracy of the model vary with different prompt styles or lengths?</t>
  </si>
  <si>
    <t>11) Does model confidence correlate with actual correctness of the output code?</t>
  </si>
  <si>
    <t xml:space="preserve">12) How scalable is the model for large and complex software tasks? </t>
  </si>
  <si>
    <t>13) How can I guide the model to use specific algorithms or patterns?</t>
  </si>
  <si>
    <t>14) Can I influence the level of abstraction or granularity in generated code?</t>
  </si>
  <si>
    <t xml:space="preserve">15) Can I prioritize runtime efficiency vs. readability in the output? </t>
  </si>
  <si>
    <t>16) Is there a way to lock parts of the prompt so the model respects certain constraints?</t>
  </si>
  <si>
    <t>17) Why did the model choose one library or API over another?</t>
  </si>
  <si>
    <t>18) Why was a specific data structure selected in the generated solution?</t>
  </si>
  <si>
    <t xml:space="preserve">19) Can I audit or inspect the type and source of training data relevant to my prompt? </t>
  </si>
  <si>
    <t xml:space="preserve">20) How recent is the training data the model uses for its predictions? </t>
  </si>
  <si>
    <t xml:space="preserve">21) What specific code domains or languages does the model struggle with? </t>
  </si>
  <si>
    <t xml:space="preserve">22) What types of bugs or errors is the model most prone to introducing? </t>
  </si>
  <si>
    <t xml:space="preserve">23) What happens if I input code that mixes multiple programming paradigms? </t>
  </si>
  <si>
    <t xml:space="preserve">24) How does the model behave when code with logical contradictions is presented? </t>
  </si>
  <si>
    <t xml:space="preserve">25) What are the computational costs of using this model for code generation at scale? </t>
  </si>
  <si>
    <t xml:space="preserve">26) How can I integrate this AI tool within my existing software development toolchain? </t>
  </si>
  <si>
    <t>Any thoughts.....</t>
  </si>
  <si>
    <t>Yes</t>
  </si>
  <si>
    <t>CS/SE/AI PhD Degree</t>
  </si>
  <si>
    <t>Researcher, Software Engineer/ Developer/ Programmer, Software Quality Engineer/ Tester, Assistant/ Associate/Full Professor</t>
  </si>
  <si>
    <t>3 - 5 years</t>
  </si>
  <si>
    <t>GitHub Copilot, ChatGPT (GPT-4, GPT-4o), Claude (Claude 3.5), Google Gemini, StarCoder / StarCoder2, PolyCoder, SantaCoder</t>
  </si>
  <si>
    <t>I am both using and engineering AI code generation models</t>
  </si>
  <si>
    <t>produce a lot of test cases to show that the code works.</t>
  </si>
  <si>
    <t>need test cases to show it works</t>
  </si>
  <si>
    <t>As a AI user with limited coding experience, how do I know the explanations produced by AI for the generated code match the actual (mis)behavior of the generated code? How do I trust the AI generated code does what it claims according to the explanations?</t>
  </si>
  <si>
    <t>Computer Science</t>
  </si>
  <si>
    <t>Masters Degree</t>
  </si>
  <si>
    <t>Student, Software Engineer/ Developer/ Programmer</t>
  </si>
  <si>
    <t>1 to &lt; 2 years</t>
  </si>
  <si>
    <t>ChatGPT (GPT-4, GPT-4o, etc.), Meta Code Llama, DeepSeek Coder</t>
  </si>
  <si>
    <t>I use AI code generation tools for writing code only</t>
  </si>
  <si>
    <t>Identifying the test cases and passing them through dry runs.</t>
  </si>
  <si>
    <t>PhD Degree</t>
  </si>
  <si>
    <t>Researcher, ML Engineer/ AI Specialist</t>
  </si>
  <si>
    <t>2 to &lt; 5 years</t>
  </si>
  <si>
    <t>GitHub Copilot, ChatGPT (GPT-4, GPT-4o, etc.), Claude (Claude 3.5), Mistral AI / Codestral, Meta Code Llama</t>
  </si>
  <si>
    <t>I use and evaluate the code generation models for trust and transparency</t>
  </si>
  <si>
    <t>Comparing multiple candidate generations or probing the model with slightly perturbed inputs, instructions, or parameters and checking whether they produce equivalent outputs can also help to better understand and trust the model's decision making.</t>
  </si>
  <si>
    <t>Provide functional correctness or security considerations of generated code can also help to better understand and trust the code.</t>
  </si>
  <si>
    <t>Informative. Excited to see the survey summary results.</t>
  </si>
  <si>
    <t>Bachelors Degree</t>
  </si>
  <si>
    <t>Software Engineer/ Developer/ Programmer</t>
  </si>
  <si>
    <t>6 to &lt; 12 months</t>
  </si>
  <si>
    <t>ChatGPT (GPT-4, GPT-4o, etc.)</t>
  </si>
  <si>
    <t>Software Engineering</t>
  </si>
  <si>
    <t>Enrolled in PhD</t>
  </si>
  <si>
    <t>Student</t>
  </si>
  <si>
    <t>GitHub Copilot, ChatGPT (GPT-4, GPT-4o, etc.)</t>
  </si>
  <si>
    <t>ML Engineer/ AI Specialist</t>
  </si>
  <si>
    <t>ChatGPT (GPT-4, GPT-4o, etc.), Google Gemini</t>
  </si>
  <si>
    <t>That Is Good</t>
  </si>
  <si>
    <t>GitHub Copilot, ChatGPT (GPT-4, GPT-4o, etc.), Claude (Claude 3.5), Google Gemini</t>
  </si>
  <si>
    <t>Undergraduate</t>
  </si>
  <si>
    <t>2 to &lt; 6 months</t>
  </si>
  <si>
    <t>Researcher, Assistant/ Associate/Full Professor</t>
  </si>
  <si>
    <t>GitHub Copilot</t>
  </si>
  <si>
    <t xml:space="preserve">Physics </t>
  </si>
  <si>
    <t>GOOD WORK 👍</t>
  </si>
  <si>
    <t>GitHub Copilot, Tabnine, Cursor, ChatGPT (GPT-4, GPT-4o, etc.), Claude (Claude 3.5)</t>
  </si>
  <si>
    <t>Artificial Intelligence</t>
  </si>
  <si>
    <t>GitHub Copilot, Codeium, Cursor, ChatGPT (GPT-4, GPT-4o, etc.), Claude (Claude 3.5), Google Gemini, Mistral AI / Codestral, Meta Code Llama, DeepSeek Coder</t>
  </si>
  <si>
    <t>It would also be helpful if the AI could provide quick runnable test cases or minimal working examples along with the generated code. This would allow me to immediately validate correctness, speed up debugging, and build more trust in the generated solutions.</t>
  </si>
  <si>
    <t>Very thoughtful survey</t>
  </si>
  <si>
    <t>Software Engineer/ Developer/ Programmer, Software Quality Engineer/ Tester</t>
  </si>
  <si>
    <t>GitHub Copilot, Tabnine, Amazon CodeWhisperer, ChatGPT (GPT-4, GPT-4o, etc.), Claude (Claude 3.5), Google Gemini</t>
  </si>
  <si>
    <t>Student, Researcher, Software Engineer/ Developer/ Programmer</t>
  </si>
  <si>
    <t>GitHub Copilot, Codeium, ChatGPT (GPT-4, GPT-4o, etc.), Claude (Claude 3.5), Google Gemini</t>
  </si>
  <si>
    <t>GitHub Copilot, ChatGPT (GPT-4, GPT-4o, etc.), Claude (Claude 3.5)</t>
  </si>
  <si>
    <t>proper generated tests that do pass, based on the use case provided. AI tools produce random tests that either don't look at the environment they are in to learn how the current test setup is and adapt to it, or don't produce proper tests, using redundant libraries and consulting documentation that is either outdated or irrelevant.</t>
  </si>
  <si>
    <t>Researcher, Software Engineer/ Developer/ Programmer</t>
  </si>
  <si>
    <t>Google Gemini</t>
  </si>
  <si>
    <t xml:space="preserve">As per my experience the quality of the code generated by AI is heavily dependent on the prompt engineering and clear requirements. If i design an effective prompt which generates workable solution then i can trust the code generated.
My experience with AI and its code generation is incremental process by starting with a vague prompt and refine the generated code by reevaluating and prompting.
Also please note that this findings is for unit functionality only. I have not generated full application with dependencies and coherently connected components </t>
  </si>
  <si>
    <t>Student, Software Engineer/ Developer/ Programmer, Software Quality Engineer/ Tester</t>
  </si>
  <si>
    <t>GitHub Copilot, ChatGPT (GPT-4, GPT-4o, etc.), IntelliCode</t>
  </si>
  <si>
    <t>Blockchain and Privacy preserving systems</t>
  </si>
  <si>
    <t>Tabnine, ChatGPT (GPT-4, GPT-4o, etc.)</t>
  </si>
  <si>
    <t>Data Science</t>
  </si>
  <si>
    <t>5 years or more</t>
  </si>
  <si>
    <t>ChatGPT (GPT-4, GPT-4o, etc.), Google Gemini, DeepSeek Coder</t>
  </si>
  <si>
    <t xml:space="preserve">Sometimes the AI generated code provided solutions for modular task depending upon the non existent libraries just by the name of task. AI generated code tools should provide authentic libraries for modular tasks </t>
  </si>
  <si>
    <t xml:space="preserve">"Questions about Code Generation AI Models: General Perspective" hey your questions related to this particular part are bit irrelevant with the output options you provided. Please explain them </t>
  </si>
  <si>
    <t>Researcher, Software Engineer/ Developer/ Programmer, ML Engineer/ AI Specialist</t>
  </si>
  <si>
    <t>GitHub Copilot, Codeium, ChatGPT (GPT-4, GPT-4o, etc.), Claude (Claude 3.5), Google Gemini, StarCoder / StarCoder2, SantaCoder, DeepSeek Coder</t>
  </si>
  <si>
    <t>GitHub Copilot, ChatGPT (GPT-4, GPT-4o, etc.), Claude (Claude 3.5), Google Gemini, Mistral AI / Codestral, Meta Code Llama, DeepSeek Coder, IntelliCode, JetBrains AI Assistant</t>
  </si>
  <si>
    <t>Researcher</t>
  </si>
  <si>
    <t>Less than 2 months</t>
  </si>
  <si>
    <t>Codeium, ChatGPT (GPT-4, GPT-4o, etc.), Claude (Claude 3.5), Google Gemini, DeepSeek Coder</t>
  </si>
  <si>
    <t>Codium</t>
  </si>
  <si>
    <t xml:space="preserve">Amazing </t>
  </si>
  <si>
    <t>MEAN</t>
  </si>
  <si>
    <t>MODE</t>
  </si>
  <si>
    <t>MIN</t>
  </si>
  <si>
    <t>MAX</t>
  </si>
  <si>
    <t>b</t>
  </si>
  <si>
    <t>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</si>
</sst>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EFEFEF"/>
        <bgColor rgb="FFEFEFE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xf>
    <xf borderId="0" fillId="0" fontId="1" numFmtId="0" xfId="0" applyAlignment="1" applyFont="1">
      <alignment readingOrder="0"/>
    </xf>
    <xf borderId="0" fillId="2" fontId="1" numFmtId="2" xfId="0" applyAlignment="1" applyFill="1" applyFont="1" applyNumberFormat="1">
      <alignment readingOrder="0"/>
    </xf>
    <xf borderId="0" fillId="0" fontId="1" numFmtId="0" xfId="0" applyFont="1"/>
    <xf borderId="0" fillId="0" fontId="1" numFmtId="2" xfId="0" applyFont="1" applyNumberFormat="1"/>
    <xf borderId="0" fillId="3" fontId="1" numFmtId="0" xfId="0" applyAlignment="1" applyFill="1" applyFont="1">
      <alignment readingOrder="0"/>
    </xf>
    <xf borderId="0" fillId="3" fontId="1" numFmtId="0" xfId="0" applyAlignment="1" applyFont="1">
      <alignment readingOrder="0"/>
    </xf>
    <xf borderId="0" fillId="2" fontId="1" numFmtId="2" xfId="0" applyFont="1" applyNumberFormat="1"/>
    <xf borderId="0" fillId="3" fontId="1" numFmtId="2" xfId="0" applyFont="1" applyNumberFormat="1"/>
    <xf borderId="0" fillId="3"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Y25" displayName="Form_Responses" name="Form_Responses" id="1">
  <tableColumns count="51">
    <tableColumn name="Timestamp" id="1"/>
    <tableColumn name="Please select &quot;Yes&quot; to indicate you have read this information and you accept to take the survey:_x000a_" id="2"/>
    <tableColumn name="Please indicate your education subject area" id="3"/>
    <tableColumn name="Please indicate your current education level " id="4"/>
    <tableColumn name="Please Indicate your current role" id="5"/>
    <tableColumn name="Please indicate the time period during which you have been working with AI tools/models for code generation. " id="6"/>
    <tableColumn name="Which AI code generation models do you use or interact with" id="7"/>
    <tableColumn name="Please indicate your interaction with code generation models" id="8"/>
    <tableColumn name="1) Understanding the attention mechanisms or similar mechanisms used by the model to focus on relevant parts of the input data during code generation can provide insights into how the model makes decisions. _x000a__x000a_Rationale: Visualizing attention weights or attention maps can help me understand which parts of the input data are most influential in generating specific code tokens" id="9"/>
    <tableColumn name="2) Visualizing the internal representation of the code structure learned by the model, such as abstract syntax trees (ASTs) or code embeddings, can provide insights into how the model captures the hierarchical structure and semantic relationships of code snippets. _x000a__x000a_Rationale: This visualization can aid in debugging model architecture issues and understanding the learned representations." id="10"/>
    <tableColumn name="3) Logging the generation process, including intermediate steps, decisions, and probabilities associated with each generated token, allows me to trace the model's behavior and diagnose performance issues. _x000a__x000a_Rationale: Analyzing the generation log can help identify patterns, biases, or errors in the model's output and guide model refinement efforts" id="11"/>
    <tableColumn name="4) Identifying which input features or representations are most influential in generating specific code tokens or structures can help me understand the factors driving code generation decisions. _x000a__x000a_Rationale: Feature importance analysis can guide feature engineering, input preprocessing, and model optimization strategies to enhance the model's performance." id="12"/>
    <tableColumn name="5) Analyzing errors made by the model, such as incorrect predictions, syntactic errors, or semantic inconsistencies in the generated code, helps me diagnose model weaknesses and identify areas for improvement. _x000a__x000a_Rationale: Understanding the types and patterns of errors made by the model can inform targeted error correction techniques and model updates." id="13"/>
    <tableColumn name="6) Incorporating domain-specific knowledge or rules into the model interpretation process can provide insights into how the model performs in specific programming languages, software engineering contexts, or application domains. _x000a__x000a_Rationale: This domain-aware interpretation can inform model refinement and customization for different use cases and scenarios." id="14"/>
    <tableColumn name="7) Developing tools and utilities for debugging the code generation model, such as techniques for analyzing model gradients, inspecting internal model states, and visualizing model predictions, can streamline the model development process and accelerate troubleshooting efforts." id="15"/>
    <tableColumn name="Please add any other thing you may need to better understand and trust the model's decision making" id="16"/>
    <tableColumn name="1) Provide an explanation of the overall structure and organization of the generated code, including the purpose of each component, the flow of control, and the relationships between different modules or functions._x000a__x000a_Rationale: To help understand the high-level design decisions made by the AI model" id="17"/>
    <tableColumn name="2) Explain the underlying code patterns or design principles used by the AI model to generate code snippets._x000a__x000a_Rationale: To help understand the reasoning behind the code generation process. This could include insights into common programming idioms, best practices, and architectural patterns reflected in the generated code." id="18"/>
    <tableColumn name="3) Provide contextual information about the input data, such as the input specifications, requirements, constraints, or user intentions_x000a__x000a_Rationale: To help understand the context in which the code was generated and interpret its relevance and suitability for the given task or problem" id="19"/>
    <tableColumn name="4) Offer explanations for variable names, function names, and comments included in the generated code._x000a__x000a_Rationale: To provide insights into the semantics and intentions behind the code constructs. Clear and meaningful naming conventions and descriptive comments enhance code readability and facilitate comprehension" id="20"/>
    <tableColumn name="5) Explain the dependencies and external libraries used by the generated code, as well as their purpose and relevance to the task at hand._x000a__x000a_Rationale: To help understand the external resources required for the code to function properly and assess any potential dependencies or integration issues" id="21"/>
    <tableColumn name="6) Present alternative code options or variations generated by the AI model, along with explanations for why each option was considered and the trade-offs involved._x000a__x000a_Rationale: To explore different implementation choices and make informed decisions based on the provided insights" id="22"/>
    <tableColumn name="7) Provide estimates of model confidence or uncertainty associated with the generated code, as well as any limitations or caveats associated with the predictions._x000a__x000a_Rationale: To help assess the reliability and trustworthiness of the generated code and make informed judgments about its suitability for deployment." id="23"/>
    <tableColumn name="Please add any other thing you may need to better understand and trust the code " id="24"/>
    <tableColumn name="1) How does the AI infer user intent from ambiguous or  incomplete prompts?" id="25"/>
    <tableColumn name="2) Can I receive feedback on missing or unclear input specifications before generation?" id="26"/>
    <tableColumn name="3) What assumptions does the model make when default values or parameters are not specified?" id="27"/>
    <tableColumn name="4) Does the generated code follow current best practices in the target language?" id="28"/>
    <tableColumn name="5) Is the generated code idiomatic and maintainable according to human standards?" id="29"/>
    <tableColumn name="6) Does the AI generate unit tests or suggest test coverage for the code?" id="30"/>
    <tableColumn name="7) How does the AI ensure compatibility of generated code with modern dependencies?" id="31"/>
    <tableColumn name="8) What internal representations (e.g., embeddings, ASTs)are used during code generation?" id="32"/>
    <tableColumn name="9) How does the model handle domain-specific logic during code generation?" id="33"/>
    <tableColumn name="10) How does the accuracy of the model vary with different prompt styles or lengths?" id="34"/>
    <tableColumn name="11) Does model confidence correlate with actual correctness of the output code?" id="35"/>
    <tableColumn name="12) How scalable is the model for large and complex software tasks? " id="36"/>
    <tableColumn name="13) How can I guide the model to use specific algorithms or patterns?" id="37"/>
    <tableColumn name="14) Can I influence the level of abstraction or granularity in generated code?" id="38"/>
    <tableColumn name="15) Can I prioritize runtime efficiency vs. readability in the output? " id="39"/>
    <tableColumn name="16) Is there a way to lock parts of the prompt so the model respects certain constraints?" id="40"/>
    <tableColumn name="17) Why did the model choose one library or API over another?" id="41"/>
    <tableColumn name="18) Why was a specific data structure selected in the generated solution?" id="42"/>
    <tableColumn name="19) Can I audit or inspect the type and source of training data relevant to my prompt? " id="43"/>
    <tableColumn name="20) How recent is the training data the model uses for its predictions? " id="44"/>
    <tableColumn name="21) What specific code domains or languages does the model struggle with? " id="45"/>
    <tableColumn name="22) What types of bugs or errors is the model most prone to introducing? " id="46"/>
    <tableColumn name="23) What happens if I input code that mixes multiple programming paradigms? " id="47"/>
    <tableColumn name="24) How does the model behave when code with logical contradictions is presented? " id="48"/>
    <tableColumn name="25) What are the computational costs of using this model for code generation at scale? " id="49"/>
    <tableColumn name="26) How can I integrate this AI tool within my existing software development toolchain? " id="50"/>
    <tableColumn name="Any thoughts....." id="5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6.75"/>
    <col customWidth="1" min="4" max="4" width="37.13"/>
    <col customWidth="1" min="5" max="5" width="28.63"/>
    <col customWidth="1" min="6" max="6" width="37.63"/>
    <col customWidth="1" min="7" max="7" width="63.38"/>
    <col customWidth="1" min="8" max="50" width="37.63"/>
    <col customWidth="1" min="51" max="5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ht="22.5" customHeight="1">
      <c r="A2" s="2">
        <v>45901.65330730324</v>
      </c>
      <c r="B2" s="3" t="s">
        <v>51</v>
      </c>
      <c r="C2" s="3" t="s">
        <v>52</v>
      </c>
      <c r="D2" s="4"/>
      <c r="E2" s="3" t="s">
        <v>53</v>
      </c>
      <c r="F2" s="3" t="s">
        <v>54</v>
      </c>
      <c r="G2" s="3" t="s">
        <v>55</v>
      </c>
      <c r="H2" s="3" t="s">
        <v>56</v>
      </c>
      <c r="I2" s="3">
        <v>4.0</v>
      </c>
      <c r="J2" s="3">
        <v>4.0</v>
      </c>
      <c r="K2" s="3">
        <v>4.0</v>
      </c>
      <c r="L2" s="3">
        <v>4.0</v>
      </c>
      <c r="M2" s="3">
        <v>5.0</v>
      </c>
      <c r="N2" s="3">
        <v>5.0</v>
      </c>
      <c r="O2" s="3">
        <v>3.0</v>
      </c>
      <c r="P2" s="3" t="s">
        <v>57</v>
      </c>
      <c r="Q2" s="3">
        <v>5.0</v>
      </c>
      <c r="R2" s="3">
        <v>5.0</v>
      </c>
      <c r="S2" s="3">
        <v>5.0</v>
      </c>
      <c r="T2" s="3">
        <v>5.0</v>
      </c>
      <c r="U2" s="3">
        <v>5.0</v>
      </c>
      <c r="V2" s="3">
        <v>4.0</v>
      </c>
      <c r="W2" s="3">
        <v>5.0</v>
      </c>
      <c r="X2" s="3" t="s">
        <v>58</v>
      </c>
      <c r="Y2" s="3">
        <v>4.0</v>
      </c>
      <c r="Z2" s="3">
        <v>3.0</v>
      </c>
      <c r="AA2" s="3">
        <v>4.0</v>
      </c>
      <c r="AB2" s="3">
        <v>4.0</v>
      </c>
      <c r="AC2" s="3">
        <v>3.0</v>
      </c>
      <c r="AD2" s="3">
        <v>5.0</v>
      </c>
      <c r="AE2" s="3">
        <v>3.0</v>
      </c>
      <c r="AF2" s="3">
        <v>3.0</v>
      </c>
      <c r="AG2" s="3">
        <v>4.0</v>
      </c>
      <c r="AH2" s="3">
        <v>2.0</v>
      </c>
      <c r="AI2" s="3">
        <v>4.0</v>
      </c>
      <c r="AJ2" s="3">
        <v>5.0</v>
      </c>
      <c r="AK2" s="3">
        <v>3.0</v>
      </c>
      <c r="AL2" s="3">
        <v>3.0</v>
      </c>
      <c r="AM2" s="3">
        <v>3.0</v>
      </c>
      <c r="AN2" s="3">
        <v>5.0</v>
      </c>
      <c r="AO2" s="3">
        <v>3.0</v>
      </c>
      <c r="AP2" s="3">
        <v>3.0</v>
      </c>
      <c r="AQ2" s="3">
        <v>2.0</v>
      </c>
      <c r="AR2" s="3">
        <v>3.0</v>
      </c>
      <c r="AS2" s="3">
        <v>4.0</v>
      </c>
      <c r="AT2" s="3">
        <v>4.0</v>
      </c>
      <c r="AU2" s="3">
        <v>4.0</v>
      </c>
      <c r="AV2" s="3">
        <v>5.0</v>
      </c>
      <c r="AW2" s="3">
        <v>4.0</v>
      </c>
      <c r="AX2" s="3">
        <v>3.0</v>
      </c>
      <c r="AY2" s="3" t="s">
        <v>59</v>
      </c>
    </row>
    <row r="3" ht="22.5" customHeight="1">
      <c r="A3" s="2">
        <v>45901.96320719908</v>
      </c>
      <c r="B3" s="3" t="s">
        <v>51</v>
      </c>
      <c r="C3" s="3" t="s">
        <v>60</v>
      </c>
      <c r="D3" s="3" t="s">
        <v>61</v>
      </c>
      <c r="E3" s="3" t="s">
        <v>62</v>
      </c>
      <c r="F3" s="3" t="s">
        <v>63</v>
      </c>
      <c r="G3" s="3" t="s">
        <v>64</v>
      </c>
      <c r="H3" s="3" t="s">
        <v>65</v>
      </c>
      <c r="I3" s="4"/>
      <c r="J3" s="4"/>
      <c r="K3" s="4"/>
      <c r="L3" s="4"/>
      <c r="M3" s="4"/>
      <c r="N3" s="4"/>
      <c r="O3" s="4"/>
      <c r="P3" s="4"/>
      <c r="Q3" s="3">
        <v>3.0</v>
      </c>
      <c r="R3" s="3">
        <v>3.0</v>
      </c>
      <c r="S3" s="3">
        <v>4.0</v>
      </c>
      <c r="T3" s="3">
        <v>4.0</v>
      </c>
      <c r="U3" s="3">
        <v>4.0</v>
      </c>
      <c r="V3" s="3">
        <v>4.0</v>
      </c>
      <c r="W3" s="3">
        <v>2.0</v>
      </c>
      <c r="X3" s="3" t="s">
        <v>66</v>
      </c>
      <c r="Y3" s="3">
        <v>3.0</v>
      </c>
      <c r="Z3" s="3">
        <v>4.0</v>
      </c>
      <c r="AA3" s="3">
        <v>2.0</v>
      </c>
      <c r="AB3" s="3">
        <v>4.0</v>
      </c>
      <c r="AC3" s="3">
        <v>2.0</v>
      </c>
      <c r="AD3" s="3">
        <v>4.0</v>
      </c>
      <c r="AE3" s="3">
        <v>3.0</v>
      </c>
      <c r="AF3" s="3">
        <v>2.0</v>
      </c>
      <c r="AG3" s="3">
        <v>2.0</v>
      </c>
      <c r="AH3" s="3">
        <v>2.0</v>
      </c>
      <c r="AI3" s="3">
        <v>2.0</v>
      </c>
      <c r="AJ3" s="3">
        <v>3.0</v>
      </c>
      <c r="AK3" s="3">
        <v>2.0</v>
      </c>
      <c r="AL3" s="3">
        <v>4.0</v>
      </c>
      <c r="AM3" s="3">
        <v>4.0</v>
      </c>
      <c r="AN3" s="3">
        <v>2.0</v>
      </c>
      <c r="AO3" s="3">
        <v>4.0</v>
      </c>
      <c r="AP3" s="3">
        <v>4.0</v>
      </c>
      <c r="AQ3" s="3">
        <v>2.0</v>
      </c>
      <c r="AR3" s="3">
        <v>4.0</v>
      </c>
      <c r="AS3" s="3">
        <v>3.0</v>
      </c>
      <c r="AT3" s="3">
        <v>3.0</v>
      </c>
      <c r="AU3" s="3">
        <v>4.0</v>
      </c>
      <c r="AV3" s="3">
        <v>3.0</v>
      </c>
      <c r="AW3" s="3">
        <v>2.0</v>
      </c>
      <c r="AX3" s="3">
        <v>4.0</v>
      </c>
      <c r="AY3" s="4"/>
    </row>
    <row r="4" ht="22.5" customHeight="1">
      <c r="A4" s="2">
        <v>45902.3989459838</v>
      </c>
      <c r="B4" s="3" t="s">
        <v>51</v>
      </c>
      <c r="C4" s="3" t="s">
        <v>60</v>
      </c>
      <c r="D4" s="3" t="s">
        <v>67</v>
      </c>
      <c r="E4" s="3" t="s">
        <v>68</v>
      </c>
      <c r="F4" s="3" t="s">
        <v>69</v>
      </c>
      <c r="G4" s="3" t="s">
        <v>70</v>
      </c>
      <c r="H4" s="3" t="s">
        <v>71</v>
      </c>
      <c r="I4" s="3">
        <v>4.0</v>
      </c>
      <c r="J4" s="3">
        <v>4.0</v>
      </c>
      <c r="K4" s="3">
        <v>4.0</v>
      </c>
      <c r="L4" s="3">
        <v>5.0</v>
      </c>
      <c r="M4" s="3">
        <v>5.0</v>
      </c>
      <c r="N4" s="3">
        <v>4.0</v>
      </c>
      <c r="O4" s="3">
        <v>4.0</v>
      </c>
      <c r="P4" s="3" t="s">
        <v>72</v>
      </c>
      <c r="Q4" s="3">
        <v>5.0</v>
      </c>
      <c r="R4" s="3">
        <v>4.0</v>
      </c>
      <c r="S4" s="3">
        <v>4.0</v>
      </c>
      <c r="T4" s="3">
        <v>4.0</v>
      </c>
      <c r="U4" s="3">
        <v>4.0</v>
      </c>
      <c r="V4" s="3">
        <v>4.0</v>
      </c>
      <c r="W4" s="3">
        <v>5.0</v>
      </c>
      <c r="X4" s="3" t="s">
        <v>73</v>
      </c>
      <c r="Y4" s="3">
        <v>4.0</v>
      </c>
      <c r="Z4" s="3">
        <v>4.0</v>
      </c>
      <c r="AA4" s="3">
        <v>5.0</v>
      </c>
      <c r="AB4" s="3">
        <v>5.0</v>
      </c>
      <c r="AC4" s="3">
        <v>5.0</v>
      </c>
      <c r="AD4" s="3">
        <v>4.0</v>
      </c>
      <c r="AE4" s="3">
        <v>4.0</v>
      </c>
      <c r="AF4" s="3">
        <v>4.0</v>
      </c>
      <c r="AG4" s="3">
        <v>5.0</v>
      </c>
      <c r="AH4" s="3">
        <v>5.0</v>
      </c>
      <c r="AI4" s="3">
        <v>5.0</v>
      </c>
      <c r="AJ4" s="3">
        <v>4.0</v>
      </c>
      <c r="AK4" s="3">
        <v>5.0</v>
      </c>
      <c r="AL4" s="3">
        <v>4.0</v>
      </c>
      <c r="AM4" s="3">
        <v>4.0</v>
      </c>
      <c r="AN4" s="3">
        <v>5.0</v>
      </c>
      <c r="AO4" s="3">
        <v>5.0</v>
      </c>
      <c r="AP4" s="3">
        <v>5.0</v>
      </c>
      <c r="AQ4" s="3">
        <v>5.0</v>
      </c>
      <c r="AR4" s="3">
        <v>5.0</v>
      </c>
      <c r="AS4" s="3">
        <v>5.0</v>
      </c>
      <c r="AT4" s="3">
        <v>5.0</v>
      </c>
      <c r="AU4" s="3">
        <v>3.0</v>
      </c>
      <c r="AV4" s="3">
        <v>4.0</v>
      </c>
      <c r="AW4" s="3">
        <v>4.0</v>
      </c>
      <c r="AX4" s="3">
        <v>5.0</v>
      </c>
      <c r="AY4" s="3" t="s">
        <v>74</v>
      </c>
    </row>
    <row r="5" ht="22.5" customHeight="1">
      <c r="A5" s="2">
        <v>45903.33456869213</v>
      </c>
      <c r="B5" s="3" t="s">
        <v>51</v>
      </c>
      <c r="C5" s="3" t="s">
        <v>60</v>
      </c>
      <c r="D5" s="3" t="s">
        <v>75</v>
      </c>
      <c r="E5" s="3" t="s">
        <v>76</v>
      </c>
      <c r="F5" s="3" t="s">
        <v>77</v>
      </c>
      <c r="G5" s="3" t="s">
        <v>78</v>
      </c>
      <c r="H5" s="3" t="s">
        <v>56</v>
      </c>
      <c r="I5" s="3">
        <v>4.0</v>
      </c>
      <c r="J5" s="3">
        <v>4.0</v>
      </c>
      <c r="K5" s="3">
        <v>4.0</v>
      </c>
      <c r="L5" s="3">
        <v>4.0</v>
      </c>
      <c r="M5" s="3">
        <v>4.0</v>
      </c>
      <c r="N5" s="3">
        <v>4.0</v>
      </c>
      <c r="O5" s="3">
        <v>4.0</v>
      </c>
      <c r="P5" s="4"/>
      <c r="Q5" s="3">
        <v>4.0</v>
      </c>
      <c r="R5" s="3">
        <v>5.0</v>
      </c>
      <c r="S5" s="3">
        <v>4.0</v>
      </c>
      <c r="T5" s="3">
        <v>4.0</v>
      </c>
      <c r="U5" s="3">
        <v>4.0</v>
      </c>
      <c r="V5" s="3">
        <v>3.0</v>
      </c>
      <c r="W5" s="3">
        <v>5.0</v>
      </c>
      <c r="X5" s="4"/>
      <c r="Y5" s="3">
        <v>4.0</v>
      </c>
      <c r="Z5" s="3">
        <v>4.0</v>
      </c>
      <c r="AA5" s="3">
        <v>4.0</v>
      </c>
      <c r="AB5" s="3">
        <v>4.0</v>
      </c>
      <c r="AC5" s="3">
        <v>4.0</v>
      </c>
      <c r="AD5" s="3">
        <v>3.0</v>
      </c>
      <c r="AE5" s="3">
        <v>4.0</v>
      </c>
      <c r="AF5" s="3">
        <v>3.0</v>
      </c>
      <c r="AG5" s="3">
        <v>4.0</v>
      </c>
      <c r="AH5" s="3">
        <v>4.0</v>
      </c>
      <c r="AI5" s="3">
        <v>4.0</v>
      </c>
      <c r="AJ5" s="3">
        <v>3.0</v>
      </c>
      <c r="AK5" s="3">
        <v>4.0</v>
      </c>
      <c r="AL5" s="3">
        <v>4.0</v>
      </c>
      <c r="AM5" s="3">
        <v>4.0</v>
      </c>
      <c r="AN5" s="3">
        <v>5.0</v>
      </c>
      <c r="AO5" s="3">
        <v>4.0</v>
      </c>
      <c r="AP5" s="3">
        <v>4.0</v>
      </c>
      <c r="AQ5" s="3">
        <v>4.0</v>
      </c>
      <c r="AR5" s="3">
        <v>5.0</v>
      </c>
      <c r="AS5" s="3">
        <v>5.0</v>
      </c>
      <c r="AT5" s="3">
        <v>5.0</v>
      </c>
      <c r="AU5" s="3">
        <v>3.0</v>
      </c>
      <c r="AV5" s="3">
        <v>4.0</v>
      </c>
      <c r="AW5" s="3">
        <v>4.0</v>
      </c>
      <c r="AX5" s="3">
        <v>4.0</v>
      </c>
      <c r="AY5" s="4"/>
    </row>
    <row r="6" ht="22.5" customHeight="1">
      <c r="A6" s="2">
        <v>45903.58242847222</v>
      </c>
      <c r="B6" s="3" t="s">
        <v>51</v>
      </c>
      <c r="C6" s="3" t="s">
        <v>79</v>
      </c>
      <c r="D6" s="3" t="s">
        <v>80</v>
      </c>
      <c r="E6" s="3" t="s">
        <v>81</v>
      </c>
      <c r="F6" s="3" t="s">
        <v>69</v>
      </c>
      <c r="G6" s="3" t="s">
        <v>82</v>
      </c>
      <c r="H6" s="3" t="s">
        <v>56</v>
      </c>
      <c r="I6" s="3">
        <v>4.0</v>
      </c>
      <c r="J6" s="3">
        <v>4.0</v>
      </c>
      <c r="K6" s="3">
        <v>3.0</v>
      </c>
      <c r="L6" s="3">
        <v>3.0</v>
      </c>
      <c r="M6" s="3">
        <v>4.0</v>
      </c>
      <c r="N6" s="3">
        <v>5.0</v>
      </c>
      <c r="O6" s="3">
        <v>3.0</v>
      </c>
      <c r="P6" s="4"/>
      <c r="Q6" s="3">
        <v>4.0</v>
      </c>
      <c r="R6" s="3">
        <v>4.0</v>
      </c>
      <c r="S6" s="3">
        <v>4.0</v>
      </c>
      <c r="T6" s="3">
        <v>4.0</v>
      </c>
      <c r="U6" s="3">
        <v>4.0</v>
      </c>
      <c r="V6" s="3">
        <v>4.0</v>
      </c>
      <c r="W6" s="3">
        <v>4.0</v>
      </c>
      <c r="X6" s="4"/>
      <c r="Y6" s="3">
        <v>4.0</v>
      </c>
      <c r="Z6" s="3">
        <v>5.0</v>
      </c>
      <c r="AA6" s="3">
        <v>4.0</v>
      </c>
      <c r="AB6" s="3">
        <v>5.0</v>
      </c>
      <c r="AC6" s="3">
        <v>5.0</v>
      </c>
      <c r="AD6" s="3">
        <v>5.0</v>
      </c>
      <c r="AE6" s="3">
        <v>5.0</v>
      </c>
      <c r="AF6" s="3">
        <v>4.0</v>
      </c>
      <c r="AG6" s="3">
        <v>4.0</v>
      </c>
      <c r="AH6" s="3">
        <v>4.0</v>
      </c>
      <c r="AI6" s="3">
        <v>4.0</v>
      </c>
      <c r="AJ6" s="3">
        <v>4.0</v>
      </c>
      <c r="AK6" s="3">
        <v>4.0</v>
      </c>
      <c r="AL6" s="3">
        <v>4.0</v>
      </c>
      <c r="AM6" s="3">
        <v>4.0</v>
      </c>
      <c r="AN6" s="3">
        <v>4.0</v>
      </c>
      <c r="AO6" s="3">
        <v>4.0</v>
      </c>
      <c r="AP6" s="3">
        <v>4.0</v>
      </c>
      <c r="AQ6" s="3">
        <v>4.0</v>
      </c>
      <c r="AR6" s="3">
        <v>4.0</v>
      </c>
      <c r="AS6" s="3">
        <v>4.0</v>
      </c>
      <c r="AT6" s="3">
        <v>4.0</v>
      </c>
      <c r="AU6" s="3">
        <v>4.0</v>
      </c>
      <c r="AV6" s="3">
        <v>4.0</v>
      </c>
      <c r="AW6" s="3">
        <v>5.0</v>
      </c>
      <c r="AX6" s="3">
        <v>5.0</v>
      </c>
      <c r="AY6" s="4"/>
    </row>
    <row r="7" ht="22.5" customHeight="1">
      <c r="A7" s="2">
        <v>45904.480516296295</v>
      </c>
      <c r="B7" s="3" t="s">
        <v>51</v>
      </c>
      <c r="C7" s="3" t="s">
        <v>60</v>
      </c>
      <c r="D7" s="3" t="s">
        <v>75</v>
      </c>
      <c r="E7" s="3" t="s">
        <v>83</v>
      </c>
      <c r="F7" s="3" t="s">
        <v>77</v>
      </c>
      <c r="G7" s="3" t="s">
        <v>84</v>
      </c>
      <c r="H7" s="3" t="s">
        <v>56</v>
      </c>
      <c r="I7" s="3">
        <v>3.0</v>
      </c>
      <c r="J7" s="3">
        <v>4.0</v>
      </c>
      <c r="K7" s="3">
        <v>4.0</v>
      </c>
      <c r="L7" s="3">
        <v>4.0</v>
      </c>
      <c r="M7" s="3">
        <v>4.0</v>
      </c>
      <c r="N7" s="3">
        <v>3.0</v>
      </c>
      <c r="O7" s="3">
        <v>2.0</v>
      </c>
      <c r="P7" s="4"/>
      <c r="Q7" s="3">
        <v>4.0</v>
      </c>
      <c r="R7" s="3">
        <v>3.0</v>
      </c>
      <c r="S7" s="3">
        <v>4.0</v>
      </c>
      <c r="T7" s="3">
        <v>3.0</v>
      </c>
      <c r="U7" s="3">
        <v>3.0</v>
      </c>
      <c r="V7" s="3">
        <v>4.0</v>
      </c>
      <c r="W7" s="3">
        <v>4.0</v>
      </c>
      <c r="X7" s="4"/>
      <c r="Y7" s="3">
        <v>4.0</v>
      </c>
      <c r="Z7" s="3">
        <v>4.0</v>
      </c>
      <c r="AA7" s="3">
        <v>4.0</v>
      </c>
      <c r="AB7" s="3">
        <v>4.0</v>
      </c>
      <c r="AC7" s="3">
        <v>4.0</v>
      </c>
      <c r="AD7" s="3">
        <v>4.0</v>
      </c>
      <c r="AE7" s="3">
        <v>3.0</v>
      </c>
      <c r="AF7" s="3">
        <v>3.0</v>
      </c>
      <c r="AG7" s="3">
        <v>4.0</v>
      </c>
      <c r="AH7" s="3">
        <v>4.0</v>
      </c>
      <c r="AI7" s="3">
        <v>4.0</v>
      </c>
      <c r="AJ7" s="3">
        <v>3.0</v>
      </c>
      <c r="AK7" s="3">
        <v>4.0</v>
      </c>
      <c r="AL7" s="3">
        <v>3.0</v>
      </c>
      <c r="AM7" s="3">
        <v>4.0</v>
      </c>
      <c r="AN7" s="3">
        <v>3.0</v>
      </c>
      <c r="AO7" s="3">
        <v>4.0</v>
      </c>
      <c r="AP7" s="3">
        <v>3.0</v>
      </c>
      <c r="AQ7" s="3">
        <v>4.0</v>
      </c>
      <c r="AR7" s="3">
        <v>3.0</v>
      </c>
      <c r="AS7" s="3">
        <v>4.0</v>
      </c>
      <c r="AT7" s="3">
        <v>3.0</v>
      </c>
      <c r="AU7" s="3">
        <v>4.0</v>
      </c>
      <c r="AV7" s="3">
        <v>4.0</v>
      </c>
      <c r="AW7" s="3">
        <v>3.0</v>
      </c>
      <c r="AX7" s="3">
        <v>4.0</v>
      </c>
      <c r="AY7" s="3" t="s">
        <v>85</v>
      </c>
    </row>
    <row r="8" ht="22.5" customHeight="1">
      <c r="A8" s="2">
        <v>45904.51827417824</v>
      </c>
      <c r="B8" s="3" t="s">
        <v>51</v>
      </c>
      <c r="C8" s="3" t="s">
        <v>60</v>
      </c>
      <c r="D8" s="3" t="s">
        <v>75</v>
      </c>
      <c r="E8" s="3" t="s">
        <v>76</v>
      </c>
      <c r="F8" s="3" t="s">
        <v>69</v>
      </c>
      <c r="G8" s="3" t="s">
        <v>86</v>
      </c>
      <c r="H8" s="3" t="s">
        <v>65</v>
      </c>
      <c r="I8" s="4"/>
      <c r="J8" s="4"/>
      <c r="K8" s="4"/>
      <c r="L8" s="4"/>
      <c r="M8" s="4"/>
      <c r="N8" s="4"/>
      <c r="O8" s="4"/>
      <c r="P8" s="4"/>
      <c r="Q8" s="3">
        <v>4.0</v>
      </c>
      <c r="R8" s="3">
        <v>4.0</v>
      </c>
      <c r="S8" s="3">
        <v>3.0</v>
      </c>
      <c r="T8" s="3">
        <v>4.0</v>
      </c>
      <c r="U8" s="3">
        <v>3.0</v>
      </c>
      <c r="V8" s="3">
        <v>4.0</v>
      </c>
      <c r="W8" s="3">
        <v>4.0</v>
      </c>
      <c r="X8" s="4"/>
      <c r="Y8" s="3">
        <v>5.0</v>
      </c>
      <c r="Z8" s="3">
        <v>4.0</v>
      </c>
      <c r="AA8" s="3">
        <v>4.0</v>
      </c>
      <c r="AB8" s="3">
        <v>4.0</v>
      </c>
      <c r="AC8" s="3">
        <v>4.0</v>
      </c>
      <c r="AD8" s="3">
        <v>3.0</v>
      </c>
      <c r="AE8" s="3">
        <v>3.0</v>
      </c>
      <c r="AF8" s="3">
        <v>5.0</v>
      </c>
      <c r="AG8" s="3">
        <v>5.0</v>
      </c>
      <c r="AH8" s="3">
        <v>4.0</v>
      </c>
      <c r="AI8" s="3">
        <v>4.0</v>
      </c>
      <c r="AJ8" s="3">
        <v>4.0</v>
      </c>
      <c r="AK8" s="3">
        <v>4.0</v>
      </c>
      <c r="AL8" s="3">
        <v>4.0</v>
      </c>
      <c r="AM8" s="3">
        <v>4.0</v>
      </c>
      <c r="AN8" s="3">
        <v>4.0</v>
      </c>
      <c r="AO8" s="3">
        <v>4.0</v>
      </c>
      <c r="AP8" s="3">
        <v>5.0</v>
      </c>
      <c r="AQ8" s="3">
        <v>4.0</v>
      </c>
      <c r="AR8" s="3">
        <v>4.0</v>
      </c>
      <c r="AS8" s="3">
        <v>4.0</v>
      </c>
      <c r="AT8" s="3">
        <v>5.0</v>
      </c>
      <c r="AU8" s="3">
        <v>5.0</v>
      </c>
      <c r="AV8" s="3">
        <v>4.0</v>
      </c>
      <c r="AW8" s="3">
        <v>5.0</v>
      </c>
      <c r="AX8" s="3">
        <v>4.0</v>
      </c>
      <c r="AY8" s="4"/>
    </row>
    <row r="9" ht="22.5" customHeight="1">
      <c r="A9" s="2">
        <v>45904.60876313657</v>
      </c>
      <c r="B9" s="3" t="s">
        <v>51</v>
      </c>
      <c r="C9" s="3" t="s">
        <v>60</v>
      </c>
      <c r="D9" s="3" t="s">
        <v>87</v>
      </c>
      <c r="E9" s="3" t="s">
        <v>76</v>
      </c>
      <c r="F9" s="3" t="s">
        <v>88</v>
      </c>
      <c r="G9" s="3" t="s">
        <v>78</v>
      </c>
      <c r="H9" s="3" t="s">
        <v>65</v>
      </c>
      <c r="I9" s="4"/>
      <c r="J9" s="4"/>
      <c r="K9" s="4"/>
      <c r="L9" s="4"/>
      <c r="M9" s="4"/>
      <c r="N9" s="4"/>
      <c r="O9" s="4"/>
      <c r="P9" s="4"/>
      <c r="Q9" s="3">
        <v>5.0</v>
      </c>
      <c r="R9" s="3">
        <v>3.0</v>
      </c>
      <c r="S9" s="3">
        <v>5.0</v>
      </c>
      <c r="T9" s="3">
        <v>5.0</v>
      </c>
      <c r="U9" s="3">
        <v>5.0</v>
      </c>
      <c r="V9" s="3">
        <v>4.0</v>
      </c>
      <c r="W9" s="3">
        <v>3.0</v>
      </c>
      <c r="X9" s="4"/>
      <c r="Y9" s="3">
        <v>4.0</v>
      </c>
      <c r="Z9" s="3">
        <v>4.0</v>
      </c>
      <c r="AA9" s="3">
        <v>4.0</v>
      </c>
      <c r="AB9" s="3">
        <v>2.0</v>
      </c>
      <c r="AC9" s="3">
        <v>4.0</v>
      </c>
      <c r="AD9" s="3">
        <v>1.0</v>
      </c>
      <c r="AE9" s="3">
        <v>5.0</v>
      </c>
      <c r="AF9" s="3">
        <v>2.0</v>
      </c>
      <c r="AG9" s="3">
        <v>3.0</v>
      </c>
      <c r="AH9" s="3">
        <v>5.0</v>
      </c>
      <c r="AI9" s="3">
        <v>1.0</v>
      </c>
      <c r="AJ9" s="3">
        <v>1.0</v>
      </c>
      <c r="AK9" s="3">
        <v>3.0</v>
      </c>
      <c r="AL9" s="3">
        <v>3.0</v>
      </c>
      <c r="AM9" s="3">
        <v>4.0</v>
      </c>
      <c r="AN9" s="3">
        <v>4.0</v>
      </c>
      <c r="AO9" s="3">
        <v>3.0</v>
      </c>
      <c r="AP9" s="3">
        <v>4.0</v>
      </c>
      <c r="AQ9" s="3">
        <v>3.0</v>
      </c>
      <c r="AR9" s="3">
        <v>4.0</v>
      </c>
      <c r="AS9" s="3">
        <v>1.0</v>
      </c>
      <c r="AT9" s="3">
        <v>1.0</v>
      </c>
      <c r="AU9" s="3">
        <v>1.0</v>
      </c>
      <c r="AV9" s="3">
        <v>1.0</v>
      </c>
      <c r="AW9" s="3">
        <v>3.0</v>
      </c>
      <c r="AX9" s="3">
        <v>5.0</v>
      </c>
      <c r="AY9" s="4"/>
    </row>
    <row r="10" ht="22.5" customHeight="1">
      <c r="A10" s="2">
        <v>45905.37085537037</v>
      </c>
      <c r="B10" s="3" t="s">
        <v>51</v>
      </c>
      <c r="C10" s="3" t="s">
        <v>79</v>
      </c>
      <c r="D10" s="3" t="s">
        <v>67</v>
      </c>
      <c r="E10" s="3" t="s">
        <v>89</v>
      </c>
      <c r="F10" s="3" t="s">
        <v>63</v>
      </c>
      <c r="G10" s="3" t="s">
        <v>90</v>
      </c>
      <c r="H10" s="3" t="s">
        <v>65</v>
      </c>
      <c r="I10" s="4"/>
      <c r="J10" s="4"/>
      <c r="K10" s="4"/>
      <c r="L10" s="4"/>
      <c r="M10" s="4"/>
      <c r="N10" s="4"/>
      <c r="O10" s="4"/>
      <c r="P10" s="4"/>
      <c r="Q10" s="3">
        <v>5.0</v>
      </c>
      <c r="R10" s="3">
        <v>5.0</v>
      </c>
      <c r="S10" s="3">
        <v>5.0</v>
      </c>
      <c r="T10" s="3">
        <v>5.0</v>
      </c>
      <c r="U10" s="3">
        <v>5.0</v>
      </c>
      <c r="V10" s="3">
        <v>5.0</v>
      </c>
      <c r="W10" s="3">
        <v>3.0</v>
      </c>
      <c r="X10" s="4"/>
      <c r="Y10" s="3">
        <v>5.0</v>
      </c>
      <c r="Z10" s="3">
        <v>5.0</v>
      </c>
      <c r="AA10" s="3">
        <v>5.0</v>
      </c>
      <c r="AB10" s="3">
        <v>4.0</v>
      </c>
      <c r="AC10" s="3">
        <v>3.0</v>
      </c>
      <c r="AD10" s="3">
        <v>3.0</v>
      </c>
      <c r="AE10" s="3">
        <v>3.0</v>
      </c>
      <c r="AF10" s="3">
        <v>3.0</v>
      </c>
      <c r="AG10" s="3">
        <v>3.0</v>
      </c>
      <c r="AH10" s="3">
        <v>4.0</v>
      </c>
      <c r="AI10" s="3">
        <v>4.0</v>
      </c>
      <c r="AJ10" s="3">
        <v>5.0</v>
      </c>
      <c r="AK10" s="3">
        <v>5.0</v>
      </c>
      <c r="AL10" s="3">
        <v>5.0</v>
      </c>
      <c r="AM10" s="3">
        <v>5.0</v>
      </c>
      <c r="AN10" s="3">
        <v>5.0</v>
      </c>
      <c r="AO10" s="3">
        <v>5.0</v>
      </c>
      <c r="AP10" s="3">
        <v>5.0</v>
      </c>
      <c r="AQ10" s="3">
        <v>5.0</v>
      </c>
      <c r="AR10" s="3">
        <v>4.0</v>
      </c>
      <c r="AS10" s="3">
        <v>4.0</v>
      </c>
      <c r="AT10" s="3">
        <v>4.0</v>
      </c>
      <c r="AU10" s="3">
        <v>4.0</v>
      </c>
      <c r="AV10" s="3">
        <v>5.0</v>
      </c>
      <c r="AW10" s="3">
        <v>5.0</v>
      </c>
      <c r="AX10" s="3">
        <v>5.0</v>
      </c>
      <c r="AY10" s="4"/>
    </row>
    <row r="11" ht="22.5" customHeight="1">
      <c r="A11" s="2">
        <v>45909.08433646991</v>
      </c>
      <c r="B11" s="3" t="s">
        <v>51</v>
      </c>
      <c r="C11" s="3" t="s">
        <v>91</v>
      </c>
      <c r="D11" s="3" t="s">
        <v>75</v>
      </c>
      <c r="E11" s="3" t="s">
        <v>76</v>
      </c>
      <c r="F11" s="3" t="s">
        <v>69</v>
      </c>
      <c r="G11" s="3" t="s">
        <v>86</v>
      </c>
      <c r="H11" s="3" t="s">
        <v>65</v>
      </c>
      <c r="I11" s="4"/>
      <c r="J11" s="4"/>
      <c r="K11" s="4"/>
      <c r="L11" s="4"/>
      <c r="M11" s="4"/>
      <c r="N11" s="4"/>
      <c r="O11" s="4"/>
      <c r="P11" s="4"/>
      <c r="Q11" s="3">
        <v>4.0</v>
      </c>
      <c r="R11" s="3">
        <v>4.0</v>
      </c>
      <c r="S11" s="3">
        <v>4.0</v>
      </c>
      <c r="T11" s="3">
        <v>4.0</v>
      </c>
      <c r="U11" s="3">
        <v>3.0</v>
      </c>
      <c r="V11" s="3">
        <v>3.0</v>
      </c>
      <c r="W11" s="3">
        <v>5.0</v>
      </c>
      <c r="X11" s="4"/>
      <c r="Y11" s="3">
        <v>4.0</v>
      </c>
      <c r="Z11" s="3">
        <v>4.0</v>
      </c>
      <c r="AA11" s="3">
        <v>4.0</v>
      </c>
      <c r="AB11" s="3">
        <v>4.0</v>
      </c>
      <c r="AC11" s="3">
        <v>4.0</v>
      </c>
      <c r="AD11" s="3">
        <v>4.0</v>
      </c>
      <c r="AE11" s="3">
        <v>4.0</v>
      </c>
      <c r="AF11" s="3">
        <v>4.0</v>
      </c>
      <c r="AG11" s="3">
        <v>4.0</v>
      </c>
      <c r="AH11" s="3">
        <v>4.0</v>
      </c>
      <c r="AI11" s="3">
        <v>4.0</v>
      </c>
      <c r="AJ11" s="3">
        <v>4.0</v>
      </c>
      <c r="AK11" s="3">
        <v>4.0</v>
      </c>
      <c r="AL11" s="3">
        <v>4.0</v>
      </c>
      <c r="AM11" s="3">
        <v>4.0</v>
      </c>
      <c r="AN11" s="3">
        <v>4.0</v>
      </c>
      <c r="AO11" s="3">
        <v>4.0</v>
      </c>
      <c r="AP11" s="3">
        <v>4.0</v>
      </c>
      <c r="AQ11" s="3">
        <v>4.0</v>
      </c>
      <c r="AR11" s="3">
        <v>4.0</v>
      </c>
      <c r="AS11" s="3">
        <v>3.0</v>
      </c>
      <c r="AT11" s="3">
        <v>4.0</v>
      </c>
      <c r="AU11" s="3">
        <v>3.0</v>
      </c>
      <c r="AV11" s="3">
        <v>4.0</v>
      </c>
      <c r="AW11" s="3">
        <v>3.0</v>
      </c>
      <c r="AX11" s="3">
        <v>2.0</v>
      </c>
      <c r="AY11" s="3" t="s">
        <v>92</v>
      </c>
    </row>
    <row r="12" ht="22.5" customHeight="1">
      <c r="A12" s="2">
        <v>45909.45681574074</v>
      </c>
      <c r="B12" s="3" t="s">
        <v>51</v>
      </c>
      <c r="C12" s="3" t="s">
        <v>79</v>
      </c>
      <c r="D12" s="3" t="s">
        <v>75</v>
      </c>
      <c r="E12" s="3" t="s">
        <v>76</v>
      </c>
      <c r="F12" s="3" t="s">
        <v>69</v>
      </c>
      <c r="G12" s="3" t="s">
        <v>93</v>
      </c>
      <c r="H12" s="3" t="s">
        <v>56</v>
      </c>
      <c r="I12" s="3">
        <v>3.0</v>
      </c>
      <c r="J12" s="3">
        <v>4.0</v>
      </c>
      <c r="K12" s="3">
        <v>4.0</v>
      </c>
      <c r="L12" s="3">
        <v>4.0</v>
      </c>
      <c r="M12" s="3">
        <v>4.0</v>
      </c>
      <c r="N12" s="3">
        <v>5.0</v>
      </c>
      <c r="O12" s="3">
        <v>3.0</v>
      </c>
      <c r="P12" s="4"/>
      <c r="Q12" s="3">
        <v>4.0</v>
      </c>
      <c r="R12" s="3">
        <v>4.0</v>
      </c>
      <c r="S12" s="3">
        <v>2.0</v>
      </c>
      <c r="T12" s="3">
        <v>5.0</v>
      </c>
      <c r="U12" s="3">
        <v>4.0</v>
      </c>
      <c r="V12" s="3">
        <v>4.0</v>
      </c>
      <c r="W12" s="3">
        <v>4.0</v>
      </c>
      <c r="X12" s="4"/>
      <c r="Y12" s="3">
        <v>4.0</v>
      </c>
      <c r="Z12" s="3">
        <v>3.0</v>
      </c>
      <c r="AA12" s="3">
        <v>4.0</v>
      </c>
      <c r="AB12" s="3">
        <v>5.0</v>
      </c>
      <c r="AC12" s="3">
        <v>3.0</v>
      </c>
      <c r="AD12" s="3">
        <v>3.0</v>
      </c>
      <c r="AE12" s="3">
        <v>2.0</v>
      </c>
      <c r="AF12" s="3">
        <v>4.0</v>
      </c>
      <c r="AG12" s="3">
        <v>3.0</v>
      </c>
      <c r="AH12" s="3">
        <v>5.0</v>
      </c>
      <c r="AI12" s="3">
        <v>4.0</v>
      </c>
      <c r="AJ12" s="3">
        <v>4.0</v>
      </c>
      <c r="AK12" s="3">
        <v>5.0</v>
      </c>
      <c r="AL12" s="3">
        <v>4.0</v>
      </c>
      <c r="AM12" s="3">
        <v>5.0</v>
      </c>
      <c r="AN12" s="3">
        <v>5.0</v>
      </c>
      <c r="AO12" s="3">
        <v>3.0</v>
      </c>
      <c r="AP12" s="3">
        <v>4.0</v>
      </c>
      <c r="AQ12" s="3">
        <v>5.0</v>
      </c>
      <c r="AR12" s="3">
        <v>3.0</v>
      </c>
      <c r="AS12" s="3">
        <v>4.0</v>
      </c>
      <c r="AT12" s="3">
        <v>3.0</v>
      </c>
      <c r="AU12" s="3">
        <v>3.0</v>
      </c>
      <c r="AV12" s="3">
        <v>4.0</v>
      </c>
      <c r="AW12" s="3">
        <v>4.0</v>
      </c>
      <c r="AX12" s="3">
        <v>4.0</v>
      </c>
      <c r="AY12" s="4"/>
    </row>
    <row r="13" ht="22.5" customHeight="1">
      <c r="A13" s="2">
        <v>45912.47307635417</v>
      </c>
      <c r="B13" s="3" t="s">
        <v>51</v>
      </c>
      <c r="C13" s="3" t="s">
        <v>60</v>
      </c>
      <c r="D13" s="3" t="s">
        <v>61</v>
      </c>
      <c r="E13" s="3" t="s">
        <v>76</v>
      </c>
      <c r="F13" s="3" t="s">
        <v>88</v>
      </c>
      <c r="G13" s="3" t="s">
        <v>78</v>
      </c>
      <c r="H13" s="3" t="s">
        <v>65</v>
      </c>
      <c r="I13" s="4"/>
      <c r="J13" s="4"/>
      <c r="K13" s="4"/>
      <c r="L13" s="4"/>
      <c r="M13" s="4"/>
      <c r="N13" s="4"/>
      <c r="O13" s="4"/>
      <c r="P13" s="4"/>
      <c r="Q13" s="3">
        <v>4.0</v>
      </c>
      <c r="R13" s="3">
        <v>3.0</v>
      </c>
      <c r="S13" s="3">
        <v>4.0</v>
      </c>
      <c r="T13" s="3">
        <v>4.0</v>
      </c>
      <c r="U13" s="3">
        <v>3.0</v>
      </c>
      <c r="V13" s="3">
        <v>5.0</v>
      </c>
      <c r="W13" s="3">
        <v>4.0</v>
      </c>
      <c r="X13" s="4"/>
      <c r="Y13" s="3">
        <v>4.0</v>
      </c>
      <c r="Z13" s="3">
        <v>5.0</v>
      </c>
      <c r="AA13" s="3">
        <v>1.0</v>
      </c>
      <c r="AB13" s="3">
        <v>5.0</v>
      </c>
      <c r="AC13" s="3">
        <v>5.0</v>
      </c>
      <c r="AD13" s="3">
        <v>4.0</v>
      </c>
      <c r="AE13" s="3">
        <v>4.0</v>
      </c>
      <c r="AF13" s="3">
        <v>1.0</v>
      </c>
      <c r="AG13" s="3">
        <v>1.0</v>
      </c>
      <c r="AH13" s="3">
        <v>4.0</v>
      </c>
      <c r="AI13" s="3">
        <v>3.0</v>
      </c>
      <c r="AJ13" s="3">
        <v>3.0</v>
      </c>
      <c r="AK13" s="3">
        <v>1.0</v>
      </c>
      <c r="AL13" s="3">
        <v>4.0</v>
      </c>
      <c r="AM13" s="3">
        <v>5.0</v>
      </c>
      <c r="AN13" s="3">
        <v>4.0</v>
      </c>
      <c r="AO13" s="3">
        <v>1.0</v>
      </c>
      <c r="AP13" s="3">
        <v>1.0</v>
      </c>
      <c r="AQ13" s="3">
        <v>1.0</v>
      </c>
      <c r="AR13" s="3">
        <v>1.0</v>
      </c>
      <c r="AS13" s="3">
        <v>1.0</v>
      </c>
      <c r="AT13" s="3">
        <v>3.0</v>
      </c>
      <c r="AU13" s="3">
        <v>1.0</v>
      </c>
      <c r="AV13" s="3">
        <v>1.0</v>
      </c>
      <c r="AW13" s="3">
        <v>1.0</v>
      </c>
      <c r="AX13" s="3">
        <v>1.0</v>
      </c>
      <c r="AY13" s="4"/>
    </row>
    <row r="14" ht="22.5" customHeight="1">
      <c r="A14" s="2">
        <v>45912.53329503472</v>
      </c>
      <c r="B14" s="3" t="s">
        <v>51</v>
      </c>
      <c r="C14" s="3" t="s">
        <v>94</v>
      </c>
      <c r="D14" s="3" t="s">
        <v>75</v>
      </c>
      <c r="E14" s="3" t="s">
        <v>83</v>
      </c>
      <c r="F14" s="3" t="s">
        <v>69</v>
      </c>
      <c r="G14" s="3" t="s">
        <v>95</v>
      </c>
      <c r="H14" s="3" t="s">
        <v>65</v>
      </c>
      <c r="I14" s="4"/>
      <c r="J14" s="4"/>
      <c r="K14" s="4"/>
      <c r="L14" s="4"/>
      <c r="M14" s="4"/>
      <c r="N14" s="4"/>
      <c r="O14" s="4"/>
      <c r="P14" s="4"/>
      <c r="Q14" s="3">
        <v>5.0</v>
      </c>
      <c r="R14" s="3">
        <v>5.0</v>
      </c>
      <c r="S14" s="3">
        <v>5.0</v>
      </c>
      <c r="T14" s="3">
        <v>5.0</v>
      </c>
      <c r="U14" s="3">
        <v>5.0</v>
      </c>
      <c r="V14" s="3">
        <v>5.0</v>
      </c>
      <c r="W14" s="3">
        <v>5.0</v>
      </c>
      <c r="X14" s="3" t="s">
        <v>96</v>
      </c>
      <c r="Y14" s="3">
        <v>5.0</v>
      </c>
      <c r="Z14" s="3">
        <v>5.0</v>
      </c>
      <c r="AA14" s="3">
        <v>5.0</v>
      </c>
      <c r="AB14" s="3">
        <v>4.0</v>
      </c>
      <c r="AC14" s="3">
        <v>4.0</v>
      </c>
      <c r="AD14" s="3">
        <v>4.0</v>
      </c>
      <c r="AE14" s="3">
        <v>5.0</v>
      </c>
      <c r="AF14" s="3">
        <v>3.0</v>
      </c>
      <c r="AG14" s="3">
        <v>5.0</v>
      </c>
      <c r="AH14" s="3">
        <v>4.0</v>
      </c>
      <c r="AI14" s="3">
        <v>4.0</v>
      </c>
      <c r="AJ14" s="3">
        <v>4.0</v>
      </c>
      <c r="AK14" s="3">
        <v>4.0</v>
      </c>
      <c r="AL14" s="3">
        <v>5.0</v>
      </c>
      <c r="AM14" s="3">
        <v>4.0</v>
      </c>
      <c r="AN14" s="3">
        <v>4.0</v>
      </c>
      <c r="AO14" s="3">
        <v>4.0</v>
      </c>
      <c r="AP14" s="3">
        <v>4.0</v>
      </c>
      <c r="AQ14" s="3">
        <v>4.0</v>
      </c>
      <c r="AR14" s="3">
        <v>4.0</v>
      </c>
      <c r="AS14" s="3">
        <v>4.0</v>
      </c>
      <c r="AT14" s="3">
        <v>4.0</v>
      </c>
      <c r="AU14" s="3">
        <v>4.0</v>
      </c>
      <c r="AV14" s="3">
        <v>4.0</v>
      </c>
      <c r="AW14" s="3">
        <v>4.0</v>
      </c>
      <c r="AX14" s="3">
        <v>4.0</v>
      </c>
      <c r="AY14" s="3" t="s">
        <v>97</v>
      </c>
    </row>
    <row r="15" ht="22.5" customHeight="1">
      <c r="A15" s="2">
        <v>45912.53865326389</v>
      </c>
      <c r="B15" s="3" t="s">
        <v>51</v>
      </c>
      <c r="C15" s="3" t="s">
        <v>60</v>
      </c>
      <c r="D15" s="3" t="s">
        <v>75</v>
      </c>
      <c r="E15" s="3" t="s">
        <v>98</v>
      </c>
      <c r="F15" s="3" t="s">
        <v>88</v>
      </c>
      <c r="G15" s="3" t="s">
        <v>99</v>
      </c>
      <c r="H15" s="3" t="s">
        <v>65</v>
      </c>
      <c r="I15" s="4"/>
      <c r="J15" s="4"/>
      <c r="K15" s="4"/>
      <c r="L15" s="4"/>
      <c r="M15" s="4"/>
      <c r="N15" s="4"/>
      <c r="O15" s="4"/>
      <c r="P15" s="4"/>
      <c r="Q15" s="3">
        <v>3.0</v>
      </c>
      <c r="R15" s="3">
        <v>3.0</v>
      </c>
      <c r="S15" s="3">
        <v>3.0</v>
      </c>
      <c r="T15" s="3">
        <v>3.0</v>
      </c>
      <c r="U15" s="3">
        <v>4.0</v>
      </c>
      <c r="V15" s="3">
        <v>4.0</v>
      </c>
      <c r="W15" s="3">
        <v>4.0</v>
      </c>
      <c r="X15" s="4"/>
      <c r="Y15" s="3">
        <v>5.0</v>
      </c>
      <c r="Z15" s="3">
        <v>5.0</v>
      </c>
      <c r="AA15" s="3">
        <v>4.0</v>
      </c>
      <c r="AB15" s="3">
        <v>4.0</v>
      </c>
      <c r="AC15" s="3">
        <v>4.0</v>
      </c>
      <c r="AD15" s="3">
        <v>5.0</v>
      </c>
      <c r="AE15" s="3">
        <v>5.0</v>
      </c>
      <c r="AF15" s="3">
        <v>5.0</v>
      </c>
      <c r="AG15" s="3">
        <v>5.0</v>
      </c>
      <c r="AH15" s="3">
        <v>4.0</v>
      </c>
      <c r="AI15" s="3">
        <v>5.0</v>
      </c>
      <c r="AJ15" s="3">
        <v>5.0</v>
      </c>
      <c r="AK15" s="3">
        <v>4.0</v>
      </c>
      <c r="AL15" s="3">
        <v>3.0</v>
      </c>
      <c r="AM15" s="3">
        <v>5.0</v>
      </c>
      <c r="AN15" s="3">
        <v>5.0</v>
      </c>
      <c r="AO15" s="3">
        <v>5.0</v>
      </c>
      <c r="AP15" s="3">
        <v>5.0</v>
      </c>
      <c r="AQ15" s="3">
        <v>5.0</v>
      </c>
      <c r="AR15" s="3">
        <v>4.0</v>
      </c>
      <c r="AS15" s="3">
        <v>4.0</v>
      </c>
      <c r="AT15" s="3">
        <v>4.0</v>
      </c>
      <c r="AU15" s="3">
        <v>4.0</v>
      </c>
      <c r="AV15" s="3">
        <v>4.0</v>
      </c>
      <c r="AW15" s="3">
        <v>4.0</v>
      </c>
      <c r="AX15" s="3">
        <v>4.0</v>
      </c>
      <c r="AY15" s="4"/>
    </row>
    <row r="16" ht="22.5" customHeight="1">
      <c r="A16" s="2">
        <v>45912.54226100694</v>
      </c>
      <c r="B16" s="3" t="s">
        <v>51</v>
      </c>
      <c r="C16" s="3" t="s">
        <v>79</v>
      </c>
      <c r="D16" s="3" t="s">
        <v>87</v>
      </c>
      <c r="E16" s="3" t="s">
        <v>100</v>
      </c>
      <c r="F16" s="3" t="s">
        <v>63</v>
      </c>
      <c r="G16" s="3" t="s">
        <v>101</v>
      </c>
      <c r="H16" s="3" t="s">
        <v>65</v>
      </c>
      <c r="I16" s="4"/>
      <c r="J16" s="4"/>
      <c r="K16" s="4"/>
      <c r="L16" s="4"/>
      <c r="M16" s="4"/>
      <c r="N16" s="4"/>
      <c r="O16" s="4"/>
      <c r="P16" s="4"/>
      <c r="Q16" s="3">
        <v>3.0</v>
      </c>
      <c r="R16" s="3">
        <v>3.0</v>
      </c>
      <c r="S16" s="3">
        <v>3.0</v>
      </c>
      <c r="T16" s="3">
        <v>3.0</v>
      </c>
      <c r="U16" s="3">
        <v>3.0</v>
      </c>
      <c r="V16" s="3">
        <v>3.0</v>
      </c>
      <c r="W16" s="3">
        <v>2.0</v>
      </c>
      <c r="X16" s="4"/>
      <c r="Y16" s="3">
        <v>2.0</v>
      </c>
      <c r="Z16" s="3">
        <v>4.0</v>
      </c>
      <c r="AA16" s="3">
        <v>2.0</v>
      </c>
      <c r="AB16" s="3">
        <v>4.0</v>
      </c>
      <c r="AC16" s="3">
        <v>3.0</v>
      </c>
      <c r="AD16" s="3">
        <v>3.0</v>
      </c>
      <c r="AE16" s="3">
        <v>2.0</v>
      </c>
      <c r="AF16" s="3">
        <v>2.0</v>
      </c>
      <c r="AG16" s="3">
        <v>2.0</v>
      </c>
      <c r="AH16" s="3">
        <v>2.0</v>
      </c>
      <c r="AI16" s="3">
        <v>3.0</v>
      </c>
      <c r="AJ16" s="3">
        <v>2.0</v>
      </c>
      <c r="AK16" s="3">
        <v>3.0</v>
      </c>
      <c r="AL16" s="3">
        <v>3.0</v>
      </c>
      <c r="AM16" s="3">
        <v>3.0</v>
      </c>
      <c r="AN16" s="3">
        <v>3.0</v>
      </c>
      <c r="AO16" s="3">
        <v>3.0</v>
      </c>
      <c r="AP16" s="3">
        <v>2.0</v>
      </c>
      <c r="AQ16" s="3">
        <v>2.0</v>
      </c>
      <c r="AR16" s="3">
        <v>2.0</v>
      </c>
      <c r="AS16" s="3">
        <v>3.0</v>
      </c>
      <c r="AT16" s="3">
        <v>3.0</v>
      </c>
      <c r="AU16" s="3">
        <v>3.0</v>
      </c>
      <c r="AV16" s="3">
        <v>3.0</v>
      </c>
      <c r="AW16" s="3">
        <v>3.0</v>
      </c>
      <c r="AX16" s="3">
        <v>3.0</v>
      </c>
      <c r="AY16" s="4"/>
    </row>
    <row r="17" ht="22.5" customHeight="1">
      <c r="A17" s="2">
        <v>45912.60485405092</v>
      </c>
      <c r="B17" s="3" t="s">
        <v>51</v>
      </c>
      <c r="C17" s="3" t="s">
        <v>60</v>
      </c>
      <c r="D17" s="3" t="s">
        <v>75</v>
      </c>
      <c r="E17" s="3" t="s">
        <v>76</v>
      </c>
      <c r="F17" s="3" t="s">
        <v>63</v>
      </c>
      <c r="G17" s="3" t="s">
        <v>102</v>
      </c>
      <c r="H17" s="3" t="s">
        <v>65</v>
      </c>
      <c r="I17" s="4"/>
      <c r="J17" s="4"/>
      <c r="K17" s="4"/>
      <c r="L17" s="4"/>
      <c r="M17" s="4"/>
      <c r="N17" s="4"/>
      <c r="O17" s="4"/>
      <c r="P17" s="4"/>
      <c r="Q17" s="3">
        <v>4.0</v>
      </c>
      <c r="R17" s="3">
        <v>3.0</v>
      </c>
      <c r="S17" s="3">
        <v>2.0</v>
      </c>
      <c r="T17" s="3">
        <v>4.0</v>
      </c>
      <c r="U17" s="3">
        <v>3.0</v>
      </c>
      <c r="V17" s="3">
        <v>2.0</v>
      </c>
      <c r="W17" s="3">
        <v>1.0</v>
      </c>
      <c r="X17" s="3" t="s">
        <v>103</v>
      </c>
      <c r="Y17" s="3">
        <v>5.0</v>
      </c>
      <c r="Z17" s="3">
        <v>4.0</v>
      </c>
      <c r="AA17" s="3">
        <v>4.0</v>
      </c>
      <c r="AB17" s="3">
        <v>5.0</v>
      </c>
      <c r="AC17" s="3">
        <v>5.0</v>
      </c>
      <c r="AD17" s="3">
        <v>5.0</v>
      </c>
      <c r="AE17" s="3">
        <v>5.0</v>
      </c>
      <c r="AF17" s="3">
        <v>5.0</v>
      </c>
      <c r="AG17" s="3">
        <v>5.0</v>
      </c>
      <c r="AH17" s="3">
        <v>5.0</v>
      </c>
      <c r="AI17" s="3">
        <v>5.0</v>
      </c>
      <c r="AJ17" s="3">
        <v>5.0</v>
      </c>
      <c r="AK17" s="3">
        <v>5.0</v>
      </c>
      <c r="AL17" s="3">
        <v>5.0</v>
      </c>
      <c r="AM17" s="3">
        <v>5.0</v>
      </c>
      <c r="AN17" s="3">
        <v>5.0</v>
      </c>
      <c r="AO17" s="3">
        <v>5.0</v>
      </c>
      <c r="AP17" s="3">
        <v>5.0</v>
      </c>
      <c r="AQ17" s="3">
        <v>5.0</v>
      </c>
      <c r="AR17" s="3">
        <v>4.0</v>
      </c>
      <c r="AS17" s="3">
        <v>4.0</v>
      </c>
      <c r="AT17" s="3">
        <v>5.0</v>
      </c>
      <c r="AU17" s="3">
        <v>3.0</v>
      </c>
      <c r="AV17" s="3">
        <v>4.0</v>
      </c>
      <c r="AW17" s="3">
        <v>2.0</v>
      </c>
      <c r="AX17" s="3">
        <v>4.0</v>
      </c>
      <c r="AY17" s="4"/>
    </row>
    <row r="18" ht="22.5" customHeight="1">
      <c r="A18" s="2">
        <v>45914.20696234953</v>
      </c>
      <c r="B18" s="3" t="s">
        <v>51</v>
      </c>
      <c r="C18" s="3" t="s">
        <v>79</v>
      </c>
      <c r="D18" s="3" t="s">
        <v>61</v>
      </c>
      <c r="E18" s="3" t="s">
        <v>76</v>
      </c>
      <c r="F18" s="3" t="s">
        <v>63</v>
      </c>
      <c r="G18" s="3" t="s">
        <v>84</v>
      </c>
      <c r="H18" s="3" t="s">
        <v>65</v>
      </c>
      <c r="I18" s="4"/>
      <c r="J18" s="4"/>
      <c r="K18" s="4"/>
      <c r="L18" s="4"/>
      <c r="M18" s="4"/>
      <c r="N18" s="4"/>
      <c r="O18" s="4"/>
      <c r="P18" s="4"/>
      <c r="Q18" s="3">
        <v>4.0</v>
      </c>
      <c r="R18" s="3">
        <v>5.0</v>
      </c>
      <c r="S18" s="3">
        <v>4.0</v>
      </c>
      <c r="T18" s="3">
        <v>4.0</v>
      </c>
      <c r="U18" s="3">
        <v>5.0</v>
      </c>
      <c r="V18" s="3">
        <v>4.0</v>
      </c>
      <c r="W18" s="3">
        <v>2.0</v>
      </c>
      <c r="X18" s="4"/>
      <c r="Y18" s="3">
        <v>4.0</v>
      </c>
      <c r="Z18" s="3">
        <v>4.0</v>
      </c>
      <c r="AA18" s="3">
        <v>4.0</v>
      </c>
      <c r="AB18" s="3">
        <v>4.0</v>
      </c>
      <c r="AC18" s="3">
        <v>3.0</v>
      </c>
      <c r="AD18" s="3">
        <v>2.0</v>
      </c>
      <c r="AE18" s="3">
        <v>4.0</v>
      </c>
      <c r="AF18" s="3">
        <v>2.0</v>
      </c>
      <c r="AG18" s="3">
        <v>4.0</v>
      </c>
      <c r="AH18" s="3">
        <v>2.0</v>
      </c>
      <c r="AI18" s="3">
        <v>4.0</v>
      </c>
      <c r="AJ18" s="3">
        <v>2.0</v>
      </c>
      <c r="AK18" s="3">
        <v>4.0</v>
      </c>
      <c r="AL18" s="3">
        <v>4.0</v>
      </c>
      <c r="AM18" s="3">
        <v>4.0</v>
      </c>
      <c r="AN18" s="3">
        <v>4.0</v>
      </c>
      <c r="AO18" s="3">
        <v>3.0</v>
      </c>
      <c r="AP18" s="3">
        <v>4.0</v>
      </c>
      <c r="AQ18" s="3">
        <v>2.0</v>
      </c>
      <c r="AR18" s="3">
        <v>2.0</v>
      </c>
      <c r="AS18" s="3">
        <v>2.0</v>
      </c>
      <c r="AT18" s="3">
        <v>4.0</v>
      </c>
      <c r="AU18" s="3">
        <v>2.0</v>
      </c>
      <c r="AV18" s="3">
        <v>1.0</v>
      </c>
      <c r="AW18" s="3">
        <v>1.0</v>
      </c>
      <c r="AX18" s="3">
        <v>1.0</v>
      </c>
      <c r="AY18" s="4"/>
    </row>
    <row r="19" ht="22.5" customHeight="1">
      <c r="A19" s="2">
        <v>45914.52242026621</v>
      </c>
      <c r="B19" s="3" t="s">
        <v>51</v>
      </c>
      <c r="C19" s="3" t="s">
        <v>60</v>
      </c>
      <c r="D19" s="3" t="s">
        <v>61</v>
      </c>
      <c r="E19" s="3" t="s">
        <v>104</v>
      </c>
      <c r="F19" s="3" t="s">
        <v>69</v>
      </c>
      <c r="G19" s="3" t="s">
        <v>105</v>
      </c>
      <c r="H19" s="3" t="s">
        <v>65</v>
      </c>
      <c r="I19" s="4"/>
      <c r="J19" s="4"/>
      <c r="K19" s="4"/>
      <c r="L19" s="4"/>
      <c r="M19" s="4"/>
      <c r="N19" s="4"/>
      <c r="O19" s="4"/>
      <c r="P19" s="4"/>
      <c r="Q19" s="3">
        <v>3.0</v>
      </c>
      <c r="R19" s="3">
        <v>3.0</v>
      </c>
      <c r="S19" s="3">
        <v>4.0</v>
      </c>
      <c r="T19" s="3">
        <v>4.0</v>
      </c>
      <c r="U19" s="3">
        <v>2.0</v>
      </c>
      <c r="V19" s="3">
        <v>4.0</v>
      </c>
      <c r="W19" s="3">
        <v>3.0</v>
      </c>
      <c r="X19" s="3" t="s">
        <v>106</v>
      </c>
      <c r="Y19" s="3">
        <v>4.0</v>
      </c>
      <c r="Z19" s="3">
        <v>4.0</v>
      </c>
      <c r="AA19" s="3">
        <v>3.0</v>
      </c>
      <c r="AB19" s="3">
        <v>4.0</v>
      </c>
      <c r="AC19" s="3">
        <v>4.0</v>
      </c>
      <c r="AD19" s="3">
        <v>4.0</v>
      </c>
      <c r="AE19" s="3">
        <v>4.0</v>
      </c>
      <c r="AF19" s="3">
        <v>3.0</v>
      </c>
      <c r="AG19" s="3">
        <v>4.0</v>
      </c>
      <c r="AH19" s="3">
        <v>5.0</v>
      </c>
      <c r="AI19" s="3">
        <v>4.0</v>
      </c>
      <c r="AJ19" s="3">
        <v>5.0</v>
      </c>
      <c r="AK19" s="3">
        <v>5.0</v>
      </c>
      <c r="AL19" s="3">
        <v>5.0</v>
      </c>
      <c r="AM19" s="3">
        <v>3.0</v>
      </c>
      <c r="AN19" s="3">
        <v>4.0</v>
      </c>
      <c r="AO19" s="3">
        <v>3.0</v>
      </c>
      <c r="AP19" s="3">
        <v>3.0</v>
      </c>
      <c r="AQ19" s="3">
        <v>2.0</v>
      </c>
      <c r="AR19" s="3">
        <v>4.0</v>
      </c>
      <c r="AS19" s="3">
        <v>3.0</v>
      </c>
      <c r="AT19" s="3">
        <v>4.0</v>
      </c>
      <c r="AU19" s="3">
        <v>4.0</v>
      </c>
      <c r="AV19" s="3">
        <v>4.0</v>
      </c>
      <c r="AW19" s="3">
        <v>4.0</v>
      </c>
      <c r="AX19" s="3">
        <v>5.0</v>
      </c>
      <c r="AY19" s="4"/>
    </row>
    <row r="20" ht="22.5" customHeight="1">
      <c r="A20" s="2">
        <v>45914.55285680556</v>
      </c>
      <c r="B20" s="3" t="s">
        <v>51</v>
      </c>
      <c r="C20" s="3" t="s">
        <v>79</v>
      </c>
      <c r="D20" s="3" t="s">
        <v>87</v>
      </c>
      <c r="E20" s="3" t="s">
        <v>107</v>
      </c>
      <c r="F20" s="3" t="s">
        <v>69</v>
      </c>
      <c r="G20" s="3" t="s">
        <v>108</v>
      </c>
      <c r="H20" s="3" t="s">
        <v>65</v>
      </c>
      <c r="I20" s="4"/>
      <c r="J20" s="4"/>
      <c r="K20" s="4"/>
      <c r="L20" s="4"/>
      <c r="M20" s="4"/>
      <c r="N20" s="4"/>
      <c r="O20" s="4"/>
      <c r="P20" s="4"/>
      <c r="Q20" s="3">
        <v>2.0</v>
      </c>
      <c r="R20" s="3">
        <v>1.0</v>
      </c>
      <c r="S20" s="3">
        <v>4.0</v>
      </c>
      <c r="T20" s="3">
        <v>1.0</v>
      </c>
      <c r="U20" s="3">
        <v>5.0</v>
      </c>
      <c r="V20" s="3">
        <v>4.0</v>
      </c>
      <c r="W20" s="3">
        <v>1.0</v>
      </c>
      <c r="X20" s="4"/>
      <c r="Y20" s="3">
        <v>3.0</v>
      </c>
      <c r="Z20" s="3">
        <v>1.0</v>
      </c>
      <c r="AA20" s="3">
        <v>4.0</v>
      </c>
      <c r="AB20" s="3">
        <v>5.0</v>
      </c>
      <c r="AC20" s="3">
        <v>1.0</v>
      </c>
      <c r="AD20" s="3">
        <v>1.0</v>
      </c>
      <c r="AE20" s="3">
        <v>4.0</v>
      </c>
      <c r="AF20" s="3">
        <v>5.0</v>
      </c>
      <c r="AG20" s="3">
        <v>4.0</v>
      </c>
      <c r="AH20" s="3">
        <v>5.0</v>
      </c>
      <c r="AI20" s="3">
        <v>4.0</v>
      </c>
      <c r="AJ20" s="3">
        <v>1.0</v>
      </c>
      <c r="AK20" s="3">
        <v>5.0</v>
      </c>
      <c r="AL20" s="3">
        <v>2.0</v>
      </c>
      <c r="AM20" s="3">
        <v>1.0</v>
      </c>
      <c r="AN20" s="3">
        <v>1.0</v>
      </c>
      <c r="AO20" s="3">
        <v>4.0</v>
      </c>
      <c r="AP20" s="3">
        <v>4.0</v>
      </c>
      <c r="AQ20" s="3">
        <v>5.0</v>
      </c>
      <c r="AR20" s="3">
        <v>1.0</v>
      </c>
      <c r="AS20" s="3">
        <v>1.0</v>
      </c>
      <c r="AT20" s="3">
        <v>4.0</v>
      </c>
      <c r="AU20" s="3">
        <v>1.0</v>
      </c>
      <c r="AV20" s="3">
        <v>1.0</v>
      </c>
      <c r="AW20" s="3">
        <v>4.0</v>
      </c>
      <c r="AX20" s="3">
        <v>4.0</v>
      </c>
      <c r="AY20" s="4"/>
    </row>
    <row r="21" ht="22.5" customHeight="1">
      <c r="A21" s="2">
        <v>45915.48342108796</v>
      </c>
      <c r="B21" s="3" t="s">
        <v>51</v>
      </c>
      <c r="C21" s="3" t="s">
        <v>109</v>
      </c>
      <c r="D21" s="3" t="s">
        <v>75</v>
      </c>
      <c r="E21" s="3" t="s">
        <v>89</v>
      </c>
      <c r="F21" s="3" t="s">
        <v>77</v>
      </c>
      <c r="G21" s="3" t="s">
        <v>110</v>
      </c>
      <c r="H21" s="3" t="s">
        <v>65</v>
      </c>
      <c r="I21" s="4"/>
      <c r="J21" s="4"/>
      <c r="K21" s="4"/>
      <c r="L21" s="4"/>
      <c r="M21" s="4"/>
      <c r="N21" s="4"/>
      <c r="O21" s="4"/>
      <c r="P21" s="4"/>
      <c r="Q21" s="3">
        <v>4.0</v>
      </c>
      <c r="R21" s="3">
        <v>5.0</v>
      </c>
      <c r="S21" s="3">
        <v>3.0</v>
      </c>
      <c r="T21" s="3">
        <v>1.0</v>
      </c>
      <c r="U21" s="3">
        <v>5.0</v>
      </c>
      <c r="V21" s="3">
        <v>5.0</v>
      </c>
      <c r="W21" s="3">
        <v>1.0</v>
      </c>
      <c r="X21" s="4"/>
      <c r="Y21" s="3">
        <v>3.0</v>
      </c>
      <c r="Z21" s="3">
        <v>2.0</v>
      </c>
      <c r="AA21" s="3">
        <v>4.0</v>
      </c>
      <c r="AB21" s="3">
        <v>2.0</v>
      </c>
      <c r="AC21" s="3">
        <v>5.0</v>
      </c>
      <c r="AD21" s="3">
        <v>2.0</v>
      </c>
      <c r="AE21" s="3">
        <v>4.0</v>
      </c>
      <c r="AF21" s="3">
        <v>1.0</v>
      </c>
      <c r="AG21" s="3">
        <v>5.0</v>
      </c>
      <c r="AH21" s="3">
        <v>3.0</v>
      </c>
      <c r="AI21" s="3">
        <v>2.0</v>
      </c>
      <c r="AJ21" s="3">
        <v>2.0</v>
      </c>
      <c r="AK21" s="3">
        <v>4.0</v>
      </c>
      <c r="AL21" s="3">
        <v>4.0</v>
      </c>
      <c r="AM21" s="3">
        <v>3.0</v>
      </c>
      <c r="AN21" s="3">
        <v>5.0</v>
      </c>
      <c r="AO21" s="3">
        <v>2.0</v>
      </c>
      <c r="AP21" s="3">
        <v>2.0</v>
      </c>
      <c r="AQ21" s="3">
        <v>2.0</v>
      </c>
      <c r="AR21" s="3">
        <v>4.0</v>
      </c>
      <c r="AS21" s="3">
        <v>4.0</v>
      </c>
      <c r="AT21" s="3">
        <v>5.0</v>
      </c>
      <c r="AU21" s="3">
        <v>2.0</v>
      </c>
      <c r="AV21" s="3">
        <v>4.0</v>
      </c>
      <c r="AW21" s="3">
        <v>1.0</v>
      </c>
      <c r="AX21" s="3">
        <v>3.0</v>
      </c>
      <c r="AY21" s="4"/>
    </row>
    <row r="22" ht="22.5" customHeight="1">
      <c r="A22" s="2">
        <v>45915.51299533565</v>
      </c>
      <c r="B22" s="3" t="s">
        <v>51</v>
      </c>
      <c r="C22" s="3" t="s">
        <v>111</v>
      </c>
      <c r="D22" s="3" t="s">
        <v>75</v>
      </c>
      <c r="E22" s="3" t="s">
        <v>83</v>
      </c>
      <c r="F22" s="3" t="s">
        <v>112</v>
      </c>
      <c r="G22" s="3" t="s">
        <v>113</v>
      </c>
      <c r="H22" s="3" t="s">
        <v>65</v>
      </c>
      <c r="I22" s="4"/>
      <c r="J22" s="4"/>
      <c r="K22" s="4"/>
      <c r="L22" s="4"/>
      <c r="M22" s="4"/>
      <c r="N22" s="4"/>
      <c r="O22" s="4"/>
      <c r="P22" s="4"/>
      <c r="Q22" s="3">
        <v>4.0</v>
      </c>
      <c r="R22" s="3">
        <v>4.0</v>
      </c>
      <c r="S22" s="3">
        <v>3.0</v>
      </c>
      <c r="T22" s="3">
        <v>2.0</v>
      </c>
      <c r="U22" s="3">
        <v>2.0</v>
      </c>
      <c r="V22" s="3">
        <v>3.0</v>
      </c>
      <c r="W22" s="3">
        <v>2.0</v>
      </c>
      <c r="X22" s="3" t="s">
        <v>114</v>
      </c>
      <c r="Y22" s="3">
        <v>3.0</v>
      </c>
      <c r="Z22" s="3">
        <v>4.0</v>
      </c>
      <c r="AA22" s="3">
        <v>3.0</v>
      </c>
      <c r="AB22" s="3">
        <v>2.0</v>
      </c>
      <c r="AC22" s="3">
        <v>3.0</v>
      </c>
      <c r="AD22" s="3">
        <v>2.0</v>
      </c>
      <c r="AE22" s="3">
        <v>3.0</v>
      </c>
      <c r="AF22" s="3">
        <v>3.0</v>
      </c>
      <c r="AG22" s="3">
        <v>4.0</v>
      </c>
      <c r="AH22" s="3">
        <v>4.0</v>
      </c>
      <c r="AI22" s="3">
        <v>4.0</v>
      </c>
      <c r="AJ22" s="3">
        <v>4.0</v>
      </c>
      <c r="AK22" s="3">
        <v>4.0</v>
      </c>
      <c r="AL22" s="3">
        <v>5.0</v>
      </c>
      <c r="AM22" s="3">
        <v>4.0</v>
      </c>
      <c r="AN22" s="3">
        <v>4.0</v>
      </c>
      <c r="AO22" s="3">
        <v>4.0</v>
      </c>
      <c r="AP22" s="3">
        <v>4.0</v>
      </c>
      <c r="AQ22" s="3">
        <v>4.0</v>
      </c>
      <c r="AR22" s="3">
        <v>4.0</v>
      </c>
      <c r="AS22" s="3">
        <v>4.0</v>
      </c>
      <c r="AT22" s="3">
        <v>3.0</v>
      </c>
      <c r="AU22" s="3">
        <v>3.0</v>
      </c>
      <c r="AV22" s="3">
        <v>4.0</v>
      </c>
      <c r="AW22" s="3">
        <v>4.0</v>
      </c>
      <c r="AX22" s="3">
        <v>4.0</v>
      </c>
      <c r="AY22" s="3" t="s">
        <v>115</v>
      </c>
    </row>
    <row r="23" ht="22.5" customHeight="1">
      <c r="A23" s="2">
        <v>45915.55866552083</v>
      </c>
      <c r="B23" s="3" t="s">
        <v>51</v>
      </c>
      <c r="C23" s="3" t="s">
        <v>60</v>
      </c>
      <c r="D23" s="3" t="s">
        <v>75</v>
      </c>
      <c r="E23" s="3" t="s">
        <v>116</v>
      </c>
      <c r="F23" s="3" t="s">
        <v>69</v>
      </c>
      <c r="G23" s="3" t="s">
        <v>117</v>
      </c>
      <c r="H23" s="3" t="s">
        <v>56</v>
      </c>
      <c r="I23" s="3">
        <v>4.0</v>
      </c>
      <c r="J23" s="3">
        <v>4.0</v>
      </c>
      <c r="K23" s="3">
        <v>5.0</v>
      </c>
      <c r="L23" s="3">
        <v>3.0</v>
      </c>
      <c r="M23" s="3">
        <v>4.0</v>
      </c>
      <c r="N23" s="3">
        <v>3.0</v>
      </c>
      <c r="O23" s="3">
        <v>2.0</v>
      </c>
      <c r="P23" s="4"/>
      <c r="Q23" s="3">
        <v>4.0</v>
      </c>
      <c r="R23" s="3">
        <v>4.0</v>
      </c>
      <c r="S23" s="3">
        <v>3.0</v>
      </c>
      <c r="T23" s="3">
        <v>4.0</v>
      </c>
      <c r="U23" s="3">
        <v>5.0</v>
      </c>
      <c r="V23" s="3">
        <v>4.0</v>
      </c>
      <c r="W23" s="3">
        <v>3.0</v>
      </c>
      <c r="X23" s="4"/>
      <c r="Y23" s="3">
        <v>3.0</v>
      </c>
      <c r="Z23" s="3">
        <v>4.0</v>
      </c>
      <c r="AA23" s="3">
        <v>4.0</v>
      </c>
      <c r="AB23" s="3">
        <v>2.0</v>
      </c>
      <c r="AC23" s="3">
        <v>2.0</v>
      </c>
      <c r="AD23" s="3">
        <v>5.0</v>
      </c>
      <c r="AE23" s="3">
        <v>4.0</v>
      </c>
      <c r="AF23" s="3">
        <v>2.0</v>
      </c>
      <c r="AG23" s="3">
        <v>2.0</v>
      </c>
      <c r="AH23" s="3">
        <v>3.0</v>
      </c>
      <c r="AI23" s="3">
        <v>3.0</v>
      </c>
      <c r="AJ23" s="3">
        <v>2.0</v>
      </c>
      <c r="AK23" s="3">
        <v>4.0</v>
      </c>
      <c r="AL23" s="3">
        <v>2.0</v>
      </c>
      <c r="AM23" s="3">
        <v>2.0</v>
      </c>
      <c r="AN23" s="3">
        <v>2.0</v>
      </c>
      <c r="AO23" s="3">
        <v>3.0</v>
      </c>
      <c r="AP23" s="3">
        <v>3.0</v>
      </c>
      <c r="AQ23" s="3">
        <v>4.0</v>
      </c>
      <c r="AR23" s="3">
        <v>4.0</v>
      </c>
      <c r="AS23" s="3">
        <v>3.0</v>
      </c>
      <c r="AT23" s="3">
        <v>4.0</v>
      </c>
      <c r="AU23" s="3">
        <v>2.0</v>
      </c>
      <c r="AV23" s="3">
        <v>2.0</v>
      </c>
      <c r="AW23" s="3">
        <v>2.0</v>
      </c>
      <c r="AX23" s="3">
        <v>3.0</v>
      </c>
      <c r="AY23" s="4"/>
    </row>
    <row r="24" ht="22.5" customHeight="1">
      <c r="A24" s="2">
        <v>45916.474784606486</v>
      </c>
      <c r="B24" s="3" t="s">
        <v>51</v>
      </c>
      <c r="C24" s="3" t="s">
        <v>79</v>
      </c>
      <c r="D24" s="3" t="s">
        <v>87</v>
      </c>
      <c r="E24" s="3" t="s">
        <v>104</v>
      </c>
      <c r="F24" s="3" t="s">
        <v>63</v>
      </c>
      <c r="G24" s="3" t="s">
        <v>118</v>
      </c>
      <c r="H24" s="3" t="s">
        <v>65</v>
      </c>
      <c r="I24" s="4"/>
      <c r="J24" s="4"/>
      <c r="K24" s="4"/>
      <c r="L24" s="4"/>
      <c r="M24" s="4"/>
      <c r="N24" s="4"/>
      <c r="O24" s="4"/>
      <c r="P24" s="4"/>
      <c r="Q24" s="3">
        <v>4.0</v>
      </c>
      <c r="R24" s="3">
        <v>5.0</v>
      </c>
      <c r="S24" s="3">
        <v>5.0</v>
      </c>
      <c r="T24" s="3">
        <v>5.0</v>
      </c>
      <c r="U24" s="3">
        <v>3.0</v>
      </c>
      <c r="V24" s="3">
        <v>5.0</v>
      </c>
      <c r="W24" s="3">
        <v>5.0</v>
      </c>
      <c r="X24" s="4"/>
      <c r="Y24" s="3">
        <v>3.0</v>
      </c>
      <c r="Z24" s="3">
        <v>2.0</v>
      </c>
      <c r="AA24" s="3">
        <v>4.0</v>
      </c>
      <c r="AB24" s="3">
        <v>1.0</v>
      </c>
      <c r="AC24" s="3">
        <v>2.0</v>
      </c>
      <c r="AD24" s="3">
        <v>3.0</v>
      </c>
      <c r="AE24" s="3">
        <v>4.0</v>
      </c>
      <c r="AF24" s="3">
        <v>3.0</v>
      </c>
      <c r="AG24" s="3">
        <v>4.0</v>
      </c>
      <c r="AH24" s="3">
        <v>4.0</v>
      </c>
      <c r="AI24" s="3">
        <v>4.0</v>
      </c>
      <c r="AJ24" s="3">
        <v>3.0</v>
      </c>
      <c r="AK24" s="3">
        <v>3.0</v>
      </c>
      <c r="AL24" s="3">
        <v>4.0</v>
      </c>
      <c r="AM24" s="3">
        <v>4.0</v>
      </c>
      <c r="AN24" s="3">
        <v>5.0</v>
      </c>
      <c r="AO24" s="3">
        <v>5.0</v>
      </c>
      <c r="AP24" s="3">
        <v>4.0</v>
      </c>
      <c r="AQ24" s="3">
        <v>4.0</v>
      </c>
      <c r="AR24" s="3">
        <v>3.0</v>
      </c>
      <c r="AS24" s="3">
        <v>4.0</v>
      </c>
      <c r="AT24" s="3">
        <v>5.0</v>
      </c>
      <c r="AU24" s="3">
        <v>5.0</v>
      </c>
      <c r="AV24" s="3">
        <v>5.0</v>
      </c>
      <c r="AW24" s="3">
        <v>5.0</v>
      </c>
      <c r="AX24" s="3">
        <v>4.0</v>
      </c>
      <c r="AY24" s="4"/>
    </row>
    <row r="25" ht="22.5" customHeight="1">
      <c r="A25" s="2">
        <v>45916.508246446756</v>
      </c>
      <c r="B25" s="3" t="s">
        <v>51</v>
      </c>
      <c r="C25" s="3" t="s">
        <v>79</v>
      </c>
      <c r="D25" s="3" t="s">
        <v>75</v>
      </c>
      <c r="E25" s="3" t="s">
        <v>119</v>
      </c>
      <c r="F25" s="3" t="s">
        <v>120</v>
      </c>
      <c r="G25" s="3" t="s">
        <v>121</v>
      </c>
      <c r="H25" s="3" t="s">
        <v>65</v>
      </c>
      <c r="I25" s="4"/>
      <c r="J25" s="4"/>
      <c r="K25" s="4"/>
      <c r="L25" s="4"/>
      <c r="M25" s="4"/>
      <c r="N25" s="4"/>
      <c r="O25" s="4"/>
      <c r="P25" s="4"/>
      <c r="Q25" s="3">
        <v>4.0</v>
      </c>
      <c r="R25" s="3">
        <v>5.0</v>
      </c>
      <c r="S25" s="3">
        <v>4.0</v>
      </c>
      <c r="T25" s="3">
        <v>3.0</v>
      </c>
      <c r="U25" s="3">
        <v>3.0</v>
      </c>
      <c r="V25" s="3">
        <v>3.0</v>
      </c>
      <c r="W25" s="3">
        <v>4.0</v>
      </c>
      <c r="X25" s="3" t="s">
        <v>122</v>
      </c>
      <c r="Y25" s="3">
        <v>4.0</v>
      </c>
      <c r="Z25" s="3">
        <v>1.0</v>
      </c>
      <c r="AA25" s="3">
        <v>2.0</v>
      </c>
      <c r="AB25" s="3">
        <v>3.0</v>
      </c>
      <c r="AC25" s="3">
        <v>4.0</v>
      </c>
      <c r="AD25" s="3">
        <v>4.0</v>
      </c>
      <c r="AE25" s="3">
        <v>4.0</v>
      </c>
      <c r="AF25" s="3">
        <v>3.0</v>
      </c>
      <c r="AG25" s="3">
        <v>4.0</v>
      </c>
      <c r="AH25" s="3">
        <v>3.0</v>
      </c>
      <c r="AI25" s="3">
        <v>5.0</v>
      </c>
      <c r="AJ25" s="3">
        <v>5.0</v>
      </c>
      <c r="AK25" s="3">
        <v>5.0</v>
      </c>
      <c r="AL25" s="3">
        <v>2.0</v>
      </c>
      <c r="AM25" s="3">
        <v>5.0</v>
      </c>
      <c r="AN25" s="3">
        <v>2.0</v>
      </c>
      <c r="AO25" s="3">
        <v>5.0</v>
      </c>
      <c r="AP25" s="3">
        <v>5.0</v>
      </c>
      <c r="AQ25" s="3">
        <v>4.0</v>
      </c>
      <c r="AR25" s="3">
        <v>3.0</v>
      </c>
      <c r="AS25" s="3">
        <v>1.0</v>
      </c>
      <c r="AT25" s="3">
        <v>5.0</v>
      </c>
      <c r="AU25" s="3">
        <v>4.0</v>
      </c>
      <c r="AV25" s="3">
        <v>2.0</v>
      </c>
      <c r="AW25" s="3">
        <v>4.0</v>
      </c>
      <c r="AX25" s="3">
        <v>4.0</v>
      </c>
      <c r="AY25" s="3" t="s">
        <v>123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v>
      </c>
      <c r="B1" s="5" t="s">
        <v>8</v>
      </c>
      <c r="C1" s="5" t="s">
        <v>9</v>
      </c>
      <c r="D1" s="5" t="s">
        <v>10</v>
      </c>
      <c r="E1" s="5" t="s">
        <v>11</v>
      </c>
      <c r="F1" s="5" t="s">
        <v>12</v>
      </c>
      <c r="G1" s="5" t="s">
        <v>13</v>
      </c>
      <c r="H1" s="5" t="s">
        <v>14</v>
      </c>
    </row>
    <row r="2">
      <c r="A2" s="6" t="s">
        <v>56</v>
      </c>
      <c r="B2" s="6">
        <v>4.0</v>
      </c>
      <c r="C2" s="6">
        <v>4.0</v>
      </c>
      <c r="D2" s="6">
        <v>4.0</v>
      </c>
      <c r="E2" s="6">
        <v>4.0</v>
      </c>
      <c r="F2" s="6">
        <v>5.0</v>
      </c>
      <c r="G2" s="6">
        <v>5.0</v>
      </c>
      <c r="H2" s="6">
        <v>3.0</v>
      </c>
    </row>
    <row r="3">
      <c r="A3" s="6" t="s">
        <v>71</v>
      </c>
      <c r="B3" s="6">
        <v>4.0</v>
      </c>
      <c r="C3" s="6">
        <v>4.0</v>
      </c>
      <c r="D3" s="6">
        <v>4.0</v>
      </c>
      <c r="E3" s="6">
        <v>5.0</v>
      </c>
      <c r="F3" s="6">
        <v>5.0</v>
      </c>
      <c r="G3" s="6">
        <v>4.0</v>
      </c>
      <c r="H3" s="6">
        <v>4.0</v>
      </c>
    </row>
    <row r="4">
      <c r="A4" s="6" t="s">
        <v>56</v>
      </c>
      <c r="B4" s="6">
        <v>4.0</v>
      </c>
      <c r="C4" s="6">
        <v>4.0</v>
      </c>
      <c r="D4" s="6">
        <v>4.0</v>
      </c>
      <c r="E4" s="6">
        <v>4.0</v>
      </c>
      <c r="F4" s="6">
        <v>4.0</v>
      </c>
      <c r="G4" s="6">
        <v>4.0</v>
      </c>
      <c r="H4" s="6">
        <v>4.0</v>
      </c>
    </row>
    <row r="5">
      <c r="A5" s="6" t="s">
        <v>56</v>
      </c>
      <c r="B5" s="6">
        <v>4.0</v>
      </c>
      <c r="C5" s="6">
        <v>4.0</v>
      </c>
      <c r="D5" s="6">
        <v>3.0</v>
      </c>
      <c r="E5" s="6">
        <v>3.0</v>
      </c>
      <c r="F5" s="6">
        <v>4.0</v>
      </c>
      <c r="G5" s="6">
        <v>5.0</v>
      </c>
      <c r="H5" s="6">
        <v>3.0</v>
      </c>
    </row>
    <row r="6">
      <c r="A6" s="6" t="s">
        <v>56</v>
      </c>
      <c r="B6" s="6">
        <v>3.0</v>
      </c>
      <c r="C6" s="6">
        <v>4.0</v>
      </c>
      <c r="D6" s="6">
        <v>4.0</v>
      </c>
      <c r="E6" s="6">
        <v>4.0</v>
      </c>
      <c r="F6" s="6">
        <v>4.0</v>
      </c>
      <c r="G6" s="6">
        <v>3.0</v>
      </c>
      <c r="H6" s="6">
        <v>2.0</v>
      </c>
    </row>
    <row r="7">
      <c r="A7" s="6" t="s">
        <v>56</v>
      </c>
      <c r="B7" s="6">
        <v>3.0</v>
      </c>
      <c r="C7" s="6">
        <v>4.0</v>
      </c>
      <c r="D7" s="6">
        <v>4.0</v>
      </c>
      <c r="E7" s="6">
        <v>4.0</v>
      </c>
      <c r="F7" s="6">
        <v>4.0</v>
      </c>
      <c r="G7" s="6">
        <v>5.0</v>
      </c>
      <c r="H7" s="6">
        <v>3.0</v>
      </c>
    </row>
    <row r="8">
      <c r="A8" s="6" t="s">
        <v>56</v>
      </c>
      <c r="B8" s="6">
        <v>4.0</v>
      </c>
      <c r="C8" s="6">
        <v>4.0</v>
      </c>
      <c r="D8" s="6">
        <v>5.0</v>
      </c>
      <c r="E8" s="6">
        <v>3.0</v>
      </c>
      <c r="F8" s="6">
        <v>4.0</v>
      </c>
      <c r="G8" s="6">
        <v>3.0</v>
      </c>
      <c r="H8" s="6">
        <v>2.0</v>
      </c>
    </row>
    <row r="9">
      <c r="A9" s="6" t="s">
        <v>124</v>
      </c>
      <c r="B9" s="7">
        <f>AVERAGE('Model Engineer Requirements'!$B$2:$B$8)</f>
        <v>3.714285714</v>
      </c>
      <c r="C9" s="7">
        <f>AVERAGE('Model Engineer Requirements'!$C$2:$C$8)</f>
        <v>4</v>
      </c>
      <c r="D9" s="7">
        <f>AVERAGE('Model Engineer Requirements'!$D$2:$D$8)</f>
        <v>4</v>
      </c>
      <c r="E9" s="7">
        <f>AVERAGE('Model Engineer Requirements'!$E$2:$E$8)</f>
        <v>3.857142857</v>
      </c>
      <c r="F9" s="7">
        <f>AVERAGE('Model Engineer Requirements'!$F$2:$F$8)</f>
        <v>4.285714286</v>
      </c>
      <c r="G9" s="7">
        <f>AVERAGE('Model Engineer Requirements'!$G$2:$G$8)</f>
        <v>4.142857143</v>
      </c>
      <c r="H9" s="7">
        <f>AVERAGE('Model Engineer Requirements'!$H$2:$H$8)</f>
        <v>3</v>
      </c>
    </row>
    <row r="10">
      <c r="A10" s="6" t="s">
        <v>125</v>
      </c>
      <c r="B10" s="8">
        <f t="shared" ref="B10:H10" si="1">MODE(B2:B8)</f>
        <v>4</v>
      </c>
      <c r="C10" s="8">
        <f t="shared" si="1"/>
        <v>4</v>
      </c>
      <c r="D10" s="8">
        <f t="shared" si="1"/>
        <v>4</v>
      </c>
      <c r="E10" s="8">
        <f t="shared" si="1"/>
        <v>4</v>
      </c>
      <c r="F10" s="8">
        <f t="shared" si="1"/>
        <v>4</v>
      </c>
      <c r="G10" s="8">
        <f t="shared" si="1"/>
        <v>5</v>
      </c>
      <c r="H10" s="8">
        <f t="shared" si="1"/>
        <v>3</v>
      </c>
    </row>
    <row r="12">
      <c r="B12" s="6" t="s">
        <v>126</v>
      </c>
      <c r="C12" s="9">
        <f>min(B9:H9)</f>
        <v>3</v>
      </c>
    </row>
    <row r="13">
      <c r="B13" s="6" t="s">
        <v>127</v>
      </c>
      <c r="C13" s="9">
        <f>Max(B9:H9)</f>
        <v>4.285714286</v>
      </c>
    </row>
    <row r="14">
      <c r="B14" s="6" t="s">
        <v>124</v>
      </c>
      <c r="C14" s="9">
        <f>AVERAGE(B9:H9)</f>
        <v>3.857142857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16</v>
      </c>
      <c r="B1" s="5" t="s">
        <v>17</v>
      </c>
      <c r="C1" s="5" t="s">
        <v>18</v>
      </c>
      <c r="D1" s="5" t="s">
        <v>19</v>
      </c>
      <c r="E1" s="5" t="s">
        <v>20</v>
      </c>
      <c r="F1" s="5" t="s">
        <v>21</v>
      </c>
      <c r="G1" s="5" t="s">
        <v>22</v>
      </c>
    </row>
    <row r="2">
      <c r="A2" s="6">
        <v>5.0</v>
      </c>
      <c r="B2" s="6">
        <v>5.0</v>
      </c>
      <c r="C2" s="6">
        <v>5.0</v>
      </c>
      <c r="D2" s="6">
        <v>5.0</v>
      </c>
      <c r="E2" s="6">
        <v>5.0</v>
      </c>
      <c r="F2" s="6">
        <v>4.0</v>
      </c>
      <c r="G2" s="6">
        <v>5.0</v>
      </c>
    </row>
    <row r="3">
      <c r="A3" s="6">
        <v>3.0</v>
      </c>
      <c r="B3" s="6">
        <v>3.0</v>
      </c>
      <c r="C3" s="6">
        <v>4.0</v>
      </c>
      <c r="D3" s="6">
        <v>4.0</v>
      </c>
      <c r="E3" s="6">
        <v>4.0</v>
      </c>
      <c r="F3" s="6">
        <v>4.0</v>
      </c>
      <c r="G3" s="6">
        <v>2.0</v>
      </c>
    </row>
    <row r="4">
      <c r="A4" s="6">
        <v>5.0</v>
      </c>
      <c r="B4" s="6">
        <v>4.0</v>
      </c>
      <c r="C4" s="6">
        <v>4.0</v>
      </c>
      <c r="D4" s="6">
        <v>4.0</v>
      </c>
      <c r="E4" s="6">
        <v>4.0</v>
      </c>
      <c r="F4" s="6">
        <v>4.0</v>
      </c>
      <c r="G4" s="6">
        <v>5.0</v>
      </c>
    </row>
    <row r="5">
      <c r="A5" s="6">
        <v>4.0</v>
      </c>
      <c r="B5" s="6">
        <v>5.0</v>
      </c>
      <c r="C5" s="6">
        <v>4.0</v>
      </c>
      <c r="D5" s="6">
        <v>4.0</v>
      </c>
      <c r="E5" s="6">
        <v>4.0</v>
      </c>
      <c r="F5" s="6">
        <v>3.0</v>
      </c>
      <c r="G5" s="6">
        <v>5.0</v>
      </c>
    </row>
    <row r="6">
      <c r="A6" s="6">
        <v>4.0</v>
      </c>
      <c r="B6" s="6">
        <v>4.0</v>
      </c>
      <c r="C6" s="6">
        <v>4.0</v>
      </c>
      <c r="D6" s="6">
        <v>4.0</v>
      </c>
      <c r="E6" s="6">
        <v>4.0</v>
      </c>
      <c r="F6" s="6">
        <v>4.0</v>
      </c>
      <c r="G6" s="6">
        <v>4.0</v>
      </c>
    </row>
    <row r="7">
      <c r="A7" s="6">
        <v>4.0</v>
      </c>
      <c r="B7" s="6">
        <v>3.0</v>
      </c>
      <c r="C7" s="6">
        <v>4.0</v>
      </c>
      <c r="D7" s="6">
        <v>3.0</v>
      </c>
      <c r="E7" s="6">
        <v>3.0</v>
      </c>
      <c r="F7" s="6">
        <v>4.0</v>
      </c>
      <c r="G7" s="6">
        <v>4.0</v>
      </c>
    </row>
    <row r="8">
      <c r="A8" s="6">
        <v>4.0</v>
      </c>
      <c r="B8" s="6">
        <v>4.0</v>
      </c>
      <c r="C8" s="6">
        <v>3.0</v>
      </c>
      <c r="D8" s="6">
        <v>4.0</v>
      </c>
      <c r="E8" s="6">
        <v>3.0</v>
      </c>
      <c r="F8" s="6">
        <v>4.0</v>
      </c>
      <c r="G8" s="6">
        <v>4.0</v>
      </c>
    </row>
    <row r="9">
      <c r="A9" s="6">
        <v>5.0</v>
      </c>
      <c r="B9" s="6">
        <v>3.0</v>
      </c>
      <c r="C9" s="6">
        <v>5.0</v>
      </c>
      <c r="D9" s="6">
        <v>5.0</v>
      </c>
      <c r="E9" s="6">
        <v>5.0</v>
      </c>
      <c r="F9" s="6">
        <v>4.0</v>
      </c>
      <c r="G9" s="6">
        <v>3.0</v>
      </c>
    </row>
    <row r="10">
      <c r="A10" s="6">
        <v>5.0</v>
      </c>
      <c r="B10" s="6">
        <v>5.0</v>
      </c>
      <c r="C10" s="6">
        <v>5.0</v>
      </c>
      <c r="D10" s="6">
        <v>5.0</v>
      </c>
      <c r="E10" s="6">
        <v>5.0</v>
      </c>
      <c r="F10" s="6">
        <v>5.0</v>
      </c>
      <c r="G10" s="6">
        <v>3.0</v>
      </c>
    </row>
    <row r="11">
      <c r="A11" s="6">
        <v>4.0</v>
      </c>
      <c r="B11" s="6">
        <v>4.0</v>
      </c>
      <c r="C11" s="6">
        <v>4.0</v>
      </c>
      <c r="D11" s="6">
        <v>4.0</v>
      </c>
      <c r="E11" s="6">
        <v>3.0</v>
      </c>
      <c r="F11" s="6">
        <v>3.0</v>
      </c>
      <c r="G11" s="6">
        <v>5.0</v>
      </c>
    </row>
    <row r="12">
      <c r="A12" s="6">
        <v>4.0</v>
      </c>
      <c r="B12" s="6">
        <v>4.0</v>
      </c>
      <c r="C12" s="6">
        <v>2.0</v>
      </c>
      <c r="D12" s="6">
        <v>5.0</v>
      </c>
      <c r="E12" s="6">
        <v>4.0</v>
      </c>
      <c r="F12" s="6">
        <v>4.0</v>
      </c>
      <c r="G12" s="6">
        <v>4.0</v>
      </c>
    </row>
    <row r="13">
      <c r="A13" s="6">
        <v>4.0</v>
      </c>
      <c r="B13" s="6">
        <v>3.0</v>
      </c>
      <c r="C13" s="6">
        <v>4.0</v>
      </c>
      <c r="D13" s="6">
        <v>4.0</v>
      </c>
      <c r="E13" s="6">
        <v>3.0</v>
      </c>
      <c r="F13" s="6">
        <v>5.0</v>
      </c>
      <c r="G13" s="6">
        <v>4.0</v>
      </c>
    </row>
    <row r="14">
      <c r="A14" s="6">
        <v>5.0</v>
      </c>
      <c r="B14" s="6">
        <v>5.0</v>
      </c>
      <c r="C14" s="6">
        <v>5.0</v>
      </c>
      <c r="D14" s="6">
        <v>5.0</v>
      </c>
      <c r="E14" s="6">
        <v>5.0</v>
      </c>
      <c r="F14" s="6">
        <v>5.0</v>
      </c>
      <c r="G14" s="6">
        <v>5.0</v>
      </c>
    </row>
    <row r="15">
      <c r="A15" s="6">
        <v>3.0</v>
      </c>
      <c r="B15" s="6">
        <v>3.0</v>
      </c>
      <c r="C15" s="6">
        <v>3.0</v>
      </c>
      <c r="D15" s="6">
        <v>3.0</v>
      </c>
      <c r="E15" s="6">
        <v>4.0</v>
      </c>
      <c r="F15" s="6">
        <v>4.0</v>
      </c>
      <c r="G15" s="6">
        <v>4.0</v>
      </c>
    </row>
    <row r="16">
      <c r="A16" s="6">
        <v>3.0</v>
      </c>
      <c r="B16" s="6">
        <v>3.0</v>
      </c>
      <c r="C16" s="6">
        <v>3.0</v>
      </c>
      <c r="D16" s="6">
        <v>3.0</v>
      </c>
      <c r="E16" s="6">
        <v>3.0</v>
      </c>
      <c r="F16" s="6">
        <v>3.0</v>
      </c>
      <c r="G16" s="6">
        <v>2.0</v>
      </c>
    </row>
    <row r="17">
      <c r="A17" s="6">
        <v>4.0</v>
      </c>
      <c r="B17" s="6">
        <v>3.0</v>
      </c>
      <c r="C17" s="6">
        <v>2.0</v>
      </c>
      <c r="D17" s="6">
        <v>4.0</v>
      </c>
      <c r="E17" s="6">
        <v>3.0</v>
      </c>
      <c r="F17" s="6">
        <v>2.0</v>
      </c>
      <c r="G17" s="6">
        <v>1.0</v>
      </c>
    </row>
    <row r="18">
      <c r="A18" s="6">
        <v>4.0</v>
      </c>
      <c r="B18" s="6">
        <v>5.0</v>
      </c>
      <c r="C18" s="6">
        <v>4.0</v>
      </c>
      <c r="D18" s="6">
        <v>4.0</v>
      </c>
      <c r="E18" s="6">
        <v>5.0</v>
      </c>
      <c r="F18" s="6">
        <v>4.0</v>
      </c>
      <c r="G18" s="6">
        <v>2.0</v>
      </c>
    </row>
    <row r="19">
      <c r="A19" s="6">
        <v>3.0</v>
      </c>
      <c r="B19" s="6">
        <v>3.0</v>
      </c>
      <c r="C19" s="6">
        <v>4.0</v>
      </c>
      <c r="D19" s="6">
        <v>4.0</v>
      </c>
      <c r="E19" s="6">
        <v>2.0</v>
      </c>
      <c r="F19" s="6">
        <v>4.0</v>
      </c>
      <c r="G19" s="6">
        <v>3.0</v>
      </c>
    </row>
    <row r="20">
      <c r="A20" s="6">
        <v>2.0</v>
      </c>
      <c r="B20" s="6">
        <v>1.0</v>
      </c>
      <c r="C20" s="6">
        <v>4.0</v>
      </c>
      <c r="D20" s="6">
        <v>1.0</v>
      </c>
      <c r="E20" s="6">
        <v>5.0</v>
      </c>
      <c r="F20" s="6">
        <v>4.0</v>
      </c>
      <c r="G20" s="6">
        <v>1.0</v>
      </c>
    </row>
    <row r="21">
      <c r="A21" s="6">
        <v>4.0</v>
      </c>
      <c r="B21" s="6">
        <v>5.0</v>
      </c>
      <c r="C21" s="6">
        <v>3.0</v>
      </c>
      <c r="D21" s="6">
        <v>1.0</v>
      </c>
      <c r="E21" s="6">
        <v>5.0</v>
      </c>
      <c r="F21" s="6">
        <v>5.0</v>
      </c>
      <c r="G21" s="6">
        <v>1.0</v>
      </c>
    </row>
    <row r="22">
      <c r="A22" s="6">
        <v>4.0</v>
      </c>
      <c r="B22" s="6">
        <v>4.0</v>
      </c>
      <c r="C22" s="6">
        <v>3.0</v>
      </c>
      <c r="D22" s="6">
        <v>2.0</v>
      </c>
      <c r="E22" s="6">
        <v>2.0</v>
      </c>
      <c r="F22" s="6">
        <v>3.0</v>
      </c>
      <c r="G22" s="6">
        <v>2.0</v>
      </c>
    </row>
    <row r="23">
      <c r="A23" s="6">
        <v>4.0</v>
      </c>
      <c r="B23" s="6">
        <v>4.0</v>
      </c>
      <c r="C23" s="6">
        <v>3.0</v>
      </c>
      <c r="D23" s="6">
        <v>4.0</v>
      </c>
      <c r="E23" s="6">
        <v>5.0</v>
      </c>
      <c r="F23" s="6">
        <v>4.0</v>
      </c>
      <c r="G23" s="6">
        <v>3.0</v>
      </c>
    </row>
    <row r="24">
      <c r="A24" s="6">
        <v>4.0</v>
      </c>
      <c r="B24" s="6">
        <v>5.0</v>
      </c>
      <c r="C24" s="6">
        <v>5.0</v>
      </c>
      <c r="D24" s="6">
        <v>5.0</v>
      </c>
      <c r="E24" s="6">
        <v>3.0</v>
      </c>
      <c r="F24" s="6">
        <v>5.0</v>
      </c>
      <c r="G24" s="6">
        <v>5.0</v>
      </c>
    </row>
    <row r="25">
      <c r="A25" s="6">
        <v>4.0</v>
      </c>
      <c r="B25" s="6">
        <v>5.0</v>
      </c>
      <c r="C25" s="6">
        <v>4.0</v>
      </c>
      <c r="D25" s="6">
        <v>3.0</v>
      </c>
      <c r="E25" s="6">
        <v>3.0</v>
      </c>
      <c r="F25" s="6">
        <v>3.0</v>
      </c>
      <c r="G25" s="6">
        <v>4.0</v>
      </c>
    </row>
    <row r="26">
      <c r="A26" s="7">
        <f>AVERAGE('Model User Requirements'!$A$2:$A$25)</f>
        <v>3.958333333</v>
      </c>
      <c r="B26" s="7">
        <f>AVERAGE('Model User Requirements'!$B$2:$B$25)</f>
        <v>3.875</v>
      </c>
      <c r="C26" s="7">
        <f>AVERAGE('Model User Requirements'!$C$2:$C$25)</f>
        <v>3.791666667</v>
      </c>
      <c r="D26" s="7">
        <f>AVERAGE('Model User Requirements'!$D$2:$D$25)</f>
        <v>3.75</v>
      </c>
      <c r="E26" s="7">
        <f>AVERAGE('Model User Requirements'!$E$2:$E$25)</f>
        <v>3.833333333</v>
      </c>
      <c r="F26" s="7">
        <f>AVERAGE('Model User Requirements'!$F$2:$F$25)</f>
        <v>3.916666667</v>
      </c>
      <c r="G26" s="7">
        <f>AVERAGE('Model User Requirements'!$G$2:$G$25)</f>
        <v>3.375</v>
      </c>
    </row>
    <row r="27">
      <c r="A27" s="8">
        <f t="shared" ref="A27:G27" si="1">mode(A2:A25)</f>
        <v>4</v>
      </c>
      <c r="B27" s="8">
        <f t="shared" si="1"/>
        <v>5</v>
      </c>
      <c r="C27" s="8">
        <f t="shared" si="1"/>
        <v>4</v>
      </c>
      <c r="D27" s="8">
        <f t="shared" si="1"/>
        <v>4</v>
      </c>
      <c r="E27" s="8">
        <f t="shared" si="1"/>
        <v>5</v>
      </c>
      <c r="F27" s="8">
        <f t="shared" si="1"/>
        <v>4</v>
      </c>
      <c r="G27" s="8">
        <f t="shared" si="1"/>
        <v>4</v>
      </c>
    </row>
    <row r="30">
      <c r="A30" s="6" t="s">
        <v>126</v>
      </c>
      <c r="B30" s="9">
        <f>min(A26:G26)</f>
        <v>3.375</v>
      </c>
    </row>
    <row r="31">
      <c r="A31" s="6" t="s">
        <v>127</v>
      </c>
      <c r="B31" s="9">
        <f>Max(A26:G26)</f>
        <v>3.958333333</v>
      </c>
    </row>
    <row r="32">
      <c r="A32" s="6" t="s">
        <v>124</v>
      </c>
      <c r="B32" s="9">
        <f>AVERAGE(A26:G26)</f>
        <v>3.785714286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24</v>
      </c>
      <c r="B1" s="5" t="s">
        <v>25</v>
      </c>
      <c r="C1" s="5" t="s">
        <v>26</v>
      </c>
      <c r="D1" s="5" t="s">
        <v>27</v>
      </c>
      <c r="E1" s="5" t="s">
        <v>28</v>
      </c>
      <c r="F1" s="5" t="s">
        <v>29</v>
      </c>
      <c r="G1" s="5" t="s">
        <v>30</v>
      </c>
      <c r="H1" s="10" t="s">
        <v>31</v>
      </c>
      <c r="I1" s="5" t="s">
        <v>32</v>
      </c>
      <c r="J1" s="5" t="s">
        <v>33</v>
      </c>
      <c r="K1" s="5" t="s">
        <v>34</v>
      </c>
      <c r="L1" s="5" t="s">
        <v>35</v>
      </c>
      <c r="M1" s="5" t="s">
        <v>36</v>
      </c>
      <c r="N1" s="5" t="s">
        <v>37</v>
      </c>
      <c r="O1" s="5" t="s">
        <v>38</v>
      </c>
      <c r="P1" s="5" t="s">
        <v>39</v>
      </c>
      <c r="Q1" s="5" t="s">
        <v>40</v>
      </c>
      <c r="R1" s="5" t="s">
        <v>41</v>
      </c>
      <c r="S1" s="5" t="s">
        <v>42</v>
      </c>
      <c r="T1" s="5" t="s">
        <v>43</v>
      </c>
      <c r="U1" s="10" t="s">
        <v>44</v>
      </c>
      <c r="V1" s="5" t="s">
        <v>45</v>
      </c>
      <c r="W1" s="10" t="s">
        <v>46</v>
      </c>
      <c r="X1" s="10" t="s">
        <v>47</v>
      </c>
      <c r="Y1" s="10" t="s">
        <v>48</v>
      </c>
      <c r="Z1" s="5" t="s">
        <v>49</v>
      </c>
    </row>
    <row r="2">
      <c r="A2" s="6">
        <v>4.0</v>
      </c>
      <c r="B2" s="6">
        <v>3.0</v>
      </c>
      <c r="C2" s="6">
        <v>4.0</v>
      </c>
      <c r="D2" s="6">
        <v>4.0</v>
      </c>
      <c r="E2" s="6">
        <v>3.0</v>
      </c>
      <c r="F2" s="6">
        <v>5.0</v>
      </c>
      <c r="G2" s="6">
        <v>3.0</v>
      </c>
      <c r="H2" s="11">
        <v>3.0</v>
      </c>
      <c r="I2" s="6">
        <v>4.0</v>
      </c>
      <c r="J2" s="6">
        <v>2.0</v>
      </c>
      <c r="K2" s="6">
        <v>4.0</v>
      </c>
      <c r="L2" s="6">
        <v>5.0</v>
      </c>
      <c r="M2" s="6">
        <v>3.0</v>
      </c>
      <c r="N2" s="6">
        <v>3.0</v>
      </c>
      <c r="O2" s="6">
        <v>3.0</v>
      </c>
      <c r="P2" s="6">
        <v>5.0</v>
      </c>
      <c r="Q2" s="6">
        <v>3.0</v>
      </c>
      <c r="R2" s="6">
        <v>3.0</v>
      </c>
      <c r="S2" s="6">
        <v>2.0</v>
      </c>
      <c r="T2" s="6">
        <v>3.0</v>
      </c>
      <c r="U2" s="11">
        <v>4.0</v>
      </c>
      <c r="V2" s="6">
        <v>4.0</v>
      </c>
      <c r="W2" s="11">
        <v>4.0</v>
      </c>
      <c r="X2" s="11">
        <v>5.0</v>
      </c>
      <c r="Y2" s="11">
        <v>4.0</v>
      </c>
      <c r="Z2" s="6">
        <v>3.0</v>
      </c>
    </row>
    <row r="3">
      <c r="A3" s="6">
        <v>3.0</v>
      </c>
      <c r="B3" s="6">
        <v>4.0</v>
      </c>
      <c r="C3" s="6">
        <v>2.0</v>
      </c>
      <c r="D3" s="6">
        <v>4.0</v>
      </c>
      <c r="E3" s="6">
        <v>2.0</v>
      </c>
      <c r="F3" s="6">
        <v>4.0</v>
      </c>
      <c r="G3" s="6">
        <v>3.0</v>
      </c>
      <c r="H3" s="11">
        <v>2.0</v>
      </c>
      <c r="I3" s="6">
        <v>2.0</v>
      </c>
      <c r="J3" s="6">
        <v>2.0</v>
      </c>
      <c r="K3" s="6">
        <v>2.0</v>
      </c>
      <c r="L3" s="6">
        <v>3.0</v>
      </c>
      <c r="M3" s="6">
        <v>2.0</v>
      </c>
      <c r="N3" s="6">
        <v>4.0</v>
      </c>
      <c r="O3" s="6">
        <v>4.0</v>
      </c>
      <c r="P3" s="6">
        <v>2.0</v>
      </c>
      <c r="Q3" s="6">
        <v>4.0</v>
      </c>
      <c r="R3" s="6">
        <v>4.0</v>
      </c>
      <c r="S3" s="6">
        <v>2.0</v>
      </c>
      <c r="T3" s="6">
        <v>4.0</v>
      </c>
      <c r="U3" s="11">
        <v>3.0</v>
      </c>
      <c r="V3" s="6">
        <v>3.0</v>
      </c>
      <c r="W3" s="11">
        <v>4.0</v>
      </c>
      <c r="X3" s="11">
        <v>3.0</v>
      </c>
      <c r="Y3" s="11">
        <v>2.0</v>
      </c>
      <c r="Z3" s="6">
        <v>4.0</v>
      </c>
    </row>
    <row r="4">
      <c r="A4" s="6">
        <v>4.0</v>
      </c>
      <c r="B4" s="6">
        <v>4.0</v>
      </c>
      <c r="C4" s="6">
        <v>5.0</v>
      </c>
      <c r="D4" s="6">
        <v>5.0</v>
      </c>
      <c r="E4" s="6">
        <v>5.0</v>
      </c>
      <c r="F4" s="6">
        <v>4.0</v>
      </c>
      <c r="G4" s="6">
        <v>4.0</v>
      </c>
      <c r="H4" s="11">
        <v>4.0</v>
      </c>
      <c r="I4" s="6">
        <v>5.0</v>
      </c>
      <c r="J4" s="6">
        <v>5.0</v>
      </c>
      <c r="K4" s="6">
        <v>5.0</v>
      </c>
      <c r="L4" s="6">
        <v>4.0</v>
      </c>
      <c r="M4" s="6">
        <v>5.0</v>
      </c>
      <c r="N4" s="6">
        <v>4.0</v>
      </c>
      <c r="O4" s="6">
        <v>4.0</v>
      </c>
      <c r="P4" s="6">
        <v>5.0</v>
      </c>
      <c r="Q4" s="6">
        <v>5.0</v>
      </c>
      <c r="R4" s="6">
        <v>5.0</v>
      </c>
      <c r="S4" s="6">
        <v>5.0</v>
      </c>
      <c r="T4" s="6">
        <v>5.0</v>
      </c>
      <c r="U4" s="11">
        <v>5.0</v>
      </c>
      <c r="V4" s="6">
        <v>5.0</v>
      </c>
      <c r="W4" s="11">
        <v>3.0</v>
      </c>
      <c r="X4" s="11">
        <v>4.0</v>
      </c>
      <c r="Y4" s="11">
        <v>4.0</v>
      </c>
      <c r="Z4" s="6">
        <v>5.0</v>
      </c>
    </row>
    <row r="5">
      <c r="A5" s="6">
        <v>4.0</v>
      </c>
      <c r="B5" s="6">
        <v>4.0</v>
      </c>
      <c r="C5" s="6">
        <v>4.0</v>
      </c>
      <c r="D5" s="6">
        <v>4.0</v>
      </c>
      <c r="E5" s="6">
        <v>4.0</v>
      </c>
      <c r="F5" s="6">
        <v>3.0</v>
      </c>
      <c r="G5" s="6">
        <v>4.0</v>
      </c>
      <c r="H5" s="11">
        <v>3.0</v>
      </c>
      <c r="I5" s="6">
        <v>4.0</v>
      </c>
      <c r="J5" s="6">
        <v>4.0</v>
      </c>
      <c r="K5" s="6">
        <v>4.0</v>
      </c>
      <c r="L5" s="6">
        <v>3.0</v>
      </c>
      <c r="M5" s="6">
        <v>4.0</v>
      </c>
      <c r="N5" s="6">
        <v>4.0</v>
      </c>
      <c r="O5" s="6">
        <v>4.0</v>
      </c>
      <c r="P5" s="6">
        <v>5.0</v>
      </c>
      <c r="Q5" s="6">
        <v>4.0</v>
      </c>
      <c r="R5" s="6">
        <v>4.0</v>
      </c>
      <c r="S5" s="6">
        <v>4.0</v>
      </c>
      <c r="T5" s="6">
        <v>5.0</v>
      </c>
      <c r="U5" s="11">
        <v>5.0</v>
      </c>
      <c r="V5" s="6">
        <v>5.0</v>
      </c>
      <c r="W5" s="11">
        <v>3.0</v>
      </c>
      <c r="X5" s="11">
        <v>4.0</v>
      </c>
      <c r="Y5" s="11">
        <v>4.0</v>
      </c>
      <c r="Z5" s="6">
        <v>4.0</v>
      </c>
    </row>
    <row r="6">
      <c r="A6" s="6">
        <v>4.0</v>
      </c>
      <c r="B6" s="6">
        <v>5.0</v>
      </c>
      <c r="C6" s="6">
        <v>4.0</v>
      </c>
      <c r="D6" s="6">
        <v>5.0</v>
      </c>
      <c r="E6" s="6">
        <v>5.0</v>
      </c>
      <c r="F6" s="6">
        <v>5.0</v>
      </c>
      <c r="G6" s="6">
        <v>5.0</v>
      </c>
      <c r="H6" s="11">
        <v>4.0</v>
      </c>
      <c r="I6" s="6">
        <v>4.0</v>
      </c>
      <c r="J6" s="6">
        <v>4.0</v>
      </c>
      <c r="K6" s="6">
        <v>4.0</v>
      </c>
      <c r="L6" s="6">
        <v>4.0</v>
      </c>
      <c r="M6" s="6">
        <v>4.0</v>
      </c>
      <c r="N6" s="6">
        <v>4.0</v>
      </c>
      <c r="O6" s="6">
        <v>4.0</v>
      </c>
      <c r="P6" s="6">
        <v>4.0</v>
      </c>
      <c r="Q6" s="6">
        <v>4.0</v>
      </c>
      <c r="R6" s="6">
        <v>4.0</v>
      </c>
      <c r="S6" s="6">
        <v>4.0</v>
      </c>
      <c r="T6" s="6">
        <v>4.0</v>
      </c>
      <c r="U6" s="11">
        <v>4.0</v>
      </c>
      <c r="V6" s="6">
        <v>4.0</v>
      </c>
      <c r="W6" s="11">
        <v>4.0</v>
      </c>
      <c r="X6" s="11">
        <v>4.0</v>
      </c>
      <c r="Y6" s="11">
        <v>5.0</v>
      </c>
      <c r="Z6" s="6">
        <v>5.0</v>
      </c>
    </row>
    <row r="7">
      <c r="A7" s="6">
        <v>4.0</v>
      </c>
      <c r="B7" s="6">
        <v>4.0</v>
      </c>
      <c r="C7" s="6">
        <v>4.0</v>
      </c>
      <c r="D7" s="6">
        <v>4.0</v>
      </c>
      <c r="E7" s="6">
        <v>4.0</v>
      </c>
      <c r="F7" s="6">
        <v>4.0</v>
      </c>
      <c r="G7" s="6">
        <v>3.0</v>
      </c>
      <c r="H7" s="11">
        <v>3.0</v>
      </c>
      <c r="I7" s="6">
        <v>4.0</v>
      </c>
      <c r="J7" s="6">
        <v>4.0</v>
      </c>
      <c r="K7" s="6">
        <v>4.0</v>
      </c>
      <c r="L7" s="6">
        <v>3.0</v>
      </c>
      <c r="M7" s="6">
        <v>4.0</v>
      </c>
      <c r="N7" s="6">
        <v>3.0</v>
      </c>
      <c r="O7" s="6">
        <v>4.0</v>
      </c>
      <c r="P7" s="6">
        <v>3.0</v>
      </c>
      <c r="Q7" s="6">
        <v>4.0</v>
      </c>
      <c r="R7" s="6">
        <v>3.0</v>
      </c>
      <c r="S7" s="6">
        <v>4.0</v>
      </c>
      <c r="T7" s="6">
        <v>3.0</v>
      </c>
      <c r="U7" s="11">
        <v>4.0</v>
      </c>
      <c r="V7" s="6">
        <v>3.0</v>
      </c>
      <c r="W7" s="11">
        <v>4.0</v>
      </c>
      <c r="X7" s="11">
        <v>4.0</v>
      </c>
      <c r="Y7" s="11">
        <v>3.0</v>
      </c>
      <c r="Z7" s="6">
        <v>4.0</v>
      </c>
    </row>
    <row r="8">
      <c r="A8" s="6">
        <v>5.0</v>
      </c>
      <c r="B8" s="6">
        <v>4.0</v>
      </c>
      <c r="C8" s="6">
        <v>4.0</v>
      </c>
      <c r="D8" s="6">
        <v>4.0</v>
      </c>
      <c r="E8" s="6">
        <v>4.0</v>
      </c>
      <c r="F8" s="6">
        <v>3.0</v>
      </c>
      <c r="G8" s="6">
        <v>3.0</v>
      </c>
      <c r="H8" s="11">
        <v>5.0</v>
      </c>
      <c r="I8" s="6">
        <v>5.0</v>
      </c>
      <c r="J8" s="6">
        <v>4.0</v>
      </c>
      <c r="K8" s="6">
        <v>4.0</v>
      </c>
      <c r="L8" s="6">
        <v>4.0</v>
      </c>
      <c r="M8" s="6">
        <v>4.0</v>
      </c>
      <c r="N8" s="6">
        <v>4.0</v>
      </c>
      <c r="O8" s="6">
        <v>4.0</v>
      </c>
      <c r="P8" s="6">
        <v>4.0</v>
      </c>
      <c r="Q8" s="6">
        <v>4.0</v>
      </c>
      <c r="R8" s="6">
        <v>5.0</v>
      </c>
      <c r="S8" s="6">
        <v>4.0</v>
      </c>
      <c r="T8" s="6">
        <v>4.0</v>
      </c>
      <c r="U8" s="11">
        <v>4.0</v>
      </c>
      <c r="V8" s="6">
        <v>5.0</v>
      </c>
      <c r="W8" s="11">
        <v>5.0</v>
      </c>
      <c r="X8" s="11">
        <v>4.0</v>
      </c>
      <c r="Y8" s="11">
        <v>5.0</v>
      </c>
      <c r="Z8" s="6">
        <v>4.0</v>
      </c>
    </row>
    <row r="9">
      <c r="A9" s="6">
        <v>4.0</v>
      </c>
      <c r="B9" s="6">
        <v>4.0</v>
      </c>
      <c r="C9" s="6">
        <v>4.0</v>
      </c>
      <c r="D9" s="6">
        <v>2.0</v>
      </c>
      <c r="E9" s="6">
        <v>4.0</v>
      </c>
      <c r="F9" s="6">
        <v>1.0</v>
      </c>
      <c r="G9" s="6">
        <v>5.0</v>
      </c>
      <c r="H9" s="11">
        <v>2.0</v>
      </c>
      <c r="I9" s="6">
        <v>3.0</v>
      </c>
      <c r="J9" s="6">
        <v>5.0</v>
      </c>
      <c r="K9" s="6">
        <v>1.0</v>
      </c>
      <c r="L9" s="6">
        <v>1.0</v>
      </c>
      <c r="M9" s="6">
        <v>3.0</v>
      </c>
      <c r="N9" s="6">
        <v>3.0</v>
      </c>
      <c r="O9" s="6">
        <v>4.0</v>
      </c>
      <c r="P9" s="6">
        <v>4.0</v>
      </c>
      <c r="Q9" s="6">
        <v>3.0</v>
      </c>
      <c r="R9" s="6">
        <v>4.0</v>
      </c>
      <c r="S9" s="6">
        <v>3.0</v>
      </c>
      <c r="T9" s="6">
        <v>4.0</v>
      </c>
      <c r="U9" s="11">
        <v>1.0</v>
      </c>
      <c r="V9" s="6">
        <v>1.0</v>
      </c>
      <c r="W9" s="11">
        <v>1.0</v>
      </c>
      <c r="X9" s="11">
        <v>1.0</v>
      </c>
      <c r="Y9" s="11">
        <v>3.0</v>
      </c>
      <c r="Z9" s="6">
        <v>5.0</v>
      </c>
    </row>
    <row r="10">
      <c r="A10" s="6">
        <v>5.0</v>
      </c>
      <c r="B10" s="6">
        <v>5.0</v>
      </c>
      <c r="C10" s="6">
        <v>5.0</v>
      </c>
      <c r="D10" s="6">
        <v>4.0</v>
      </c>
      <c r="E10" s="6">
        <v>3.0</v>
      </c>
      <c r="F10" s="6">
        <v>3.0</v>
      </c>
      <c r="G10" s="6">
        <v>3.0</v>
      </c>
      <c r="H10" s="11">
        <v>3.0</v>
      </c>
      <c r="I10" s="6">
        <v>3.0</v>
      </c>
      <c r="J10" s="6">
        <v>4.0</v>
      </c>
      <c r="K10" s="6">
        <v>4.0</v>
      </c>
      <c r="L10" s="6">
        <v>5.0</v>
      </c>
      <c r="M10" s="6">
        <v>5.0</v>
      </c>
      <c r="N10" s="6">
        <v>5.0</v>
      </c>
      <c r="O10" s="6">
        <v>5.0</v>
      </c>
      <c r="P10" s="6">
        <v>5.0</v>
      </c>
      <c r="Q10" s="6">
        <v>5.0</v>
      </c>
      <c r="R10" s="6">
        <v>5.0</v>
      </c>
      <c r="S10" s="6">
        <v>5.0</v>
      </c>
      <c r="T10" s="6">
        <v>4.0</v>
      </c>
      <c r="U10" s="11">
        <v>4.0</v>
      </c>
      <c r="V10" s="6">
        <v>4.0</v>
      </c>
      <c r="W10" s="11">
        <v>4.0</v>
      </c>
      <c r="X10" s="11">
        <v>5.0</v>
      </c>
      <c r="Y10" s="11">
        <v>5.0</v>
      </c>
      <c r="Z10" s="6">
        <v>5.0</v>
      </c>
    </row>
    <row r="11">
      <c r="A11" s="6">
        <v>4.0</v>
      </c>
      <c r="B11" s="6">
        <v>4.0</v>
      </c>
      <c r="C11" s="6">
        <v>4.0</v>
      </c>
      <c r="D11" s="6">
        <v>4.0</v>
      </c>
      <c r="E11" s="6">
        <v>4.0</v>
      </c>
      <c r="F11" s="6">
        <v>4.0</v>
      </c>
      <c r="G11" s="6">
        <v>4.0</v>
      </c>
      <c r="H11" s="11">
        <v>4.0</v>
      </c>
      <c r="I11" s="6">
        <v>4.0</v>
      </c>
      <c r="J11" s="6">
        <v>4.0</v>
      </c>
      <c r="K11" s="6">
        <v>4.0</v>
      </c>
      <c r="L11" s="6">
        <v>4.0</v>
      </c>
      <c r="M11" s="6">
        <v>4.0</v>
      </c>
      <c r="N11" s="6">
        <v>4.0</v>
      </c>
      <c r="O11" s="6">
        <v>4.0</v>
      </c>
      <c r="P11" s="6">
        <v>4.0</v>
      </c>
      <c r="Q11" s="6">
        <v>4.0</v>
      </c>
      <c r="R11" s="6">
        <v>4.0</v>
      </c>
      <c r="S11" s="6">
        <v>4.0</v>
      </c>
      <c r="T11" s="6">
        <v>4.0</v>
      </c>
      <c r="U11" s="11">
        <v>3.0</v>
      </c>
      <c r="V11" s="6">
        <v>4.0</v>
      </c>
      <c r="W11" s="11">
        <v>3.0</v>
      </c>
      <c r="X11" s="11">
        <v>4.0</v>
      </c>
      <c r="Y11" s="11">
        <v>3.0</v>
      </c>
      <c r="Z11" s="6">
        <v>2.0</v>
      </c>
    </row>
    <row r="12">
      <c r="A12" s="6">
        <v>4.0</v>
      </c>
      <c r="B12" s="6">
        <v>3.0</v>
      </c>
      <c r="C12" s="6">
        <v>4.0</v>
      </c>
      <c r="D12" s="6">
        <v>5.0</v>
      </c>
      <c r="E12" s="6">
        <v>3.0</v>
      </c>
      <c r="F12" s="6">
        <v>3.0</v>
      </c>
      <c r="G12" s="6">
        <v>2.0</v>
      </c>
      <c r="H12" s="11">
        <v>4.0</v>
      </c>
      <c r="I12" s="6">
        <v>3.0</v>
      </c>
      <c r="J12" s="6">
        <v>5.0</v>
      </c>
      <c r="K12" s="6">
        <v>4.0</v>
      </c>
      <c r="L12" s="6">
        <v>4.0</v>
      </c>
      <c r="M12" s="6">
        <v>5.0</v>
      </c>
      <c r="N12" s="6">
        <v>4.0</v>
      </c>
      <c r="O12" s="6">
        <v>5.0</v>
      </c>
      <c r="P12" s="6">
        <v>5.0</v>
      </c>
      <c r="Q12" s="6">
        <v>3.0</v>
      </c>
      <c r="R12" s="6">
        <v>4.0</v>
      </c>
      <c r="S12" s="6">
        <v>5.0</v>
      </c>
      <c r="T12" s="6">
        <v>3.0</v>
      </c>
      <c r="U12" s="11">
        <v>4.0</v>
      </c>
      <c r="V12" s="6">
        <v>3.0</v>
      </c>
      <c r="W12" s="11">
        <v>3.0</v>
      </c>
      <c r="X12" s="11">
        <v>4.0</v>
      </c>
      <c r="Y12" s="11">
        <v>4.0</v>
      </c>
      <c r="Z12" s="6">
        <v>4.0</v>
      </c>
    </row>
    <row r="13">
      <c r="A13" s="6">
        <v>4.0</v>
      </c>
      <c r="B13" s="6">
        <v>5.0</v>
      </c>
      <c r="C13" s="6">
        <v>1.0</v>
      </c>
      <c r="D13" s="6">
        <v>5.0</v>
      </c>
      <c r="E13" s="6">
        <v>5.0</v>
      </c>
      <c r="F13" s="6">
        <v>4.0</v>
      </c>
      <c r="G13" s="6">
        <v>4.0</v>
      </c>
      <c r="H13" s="11">
        <v>1.0</v>
      </c>
      <c r="I13" s="6">
        <v>1.0</v>
      </c>
      <c r="J13" s="6">
        <v>4.0</v>
      </c>
      <c r="K13" s="6">
        <v>3.0</v>
      </c>
      <c r="L13" s="6">
        <v>3.0</v>
      </c>
      <c r="M13" s="6">
        <v>1.0</v>
      </c>
      <c r="N13" s="6">
        <v>4.0</v>
      </c>
      <c r="O13" s="6">
        <v>5.0</v>
      </c>
      <c r="P13" s="6">
        <v>4.0</v>
      </c>
      <c r="Q13" s="6">
        <v>1.0</v>
      </c>
      <c r="R13" s="6">
        <v>1.0</v>
      </c>
      <c r="S13" s="6">
        <v>1.0</v>
      </c>
      <c r="T13" s="6">
        <v>1.0</v>
      </c>
      <c r="U13" s="11">
        <v>1.0</v>
      </c>
      <c r="V13" s="6">
        <v>3.0</v>
      </c>
      <c r="W13" s="11">
        <v>1.0</v>
      </c>
      <c r="X13" s="11">
        <v>1.0</v>
      </c>
      <c r="Y13" s="11">
        <v>1.0</v>
      </c>
      <c r="Z13" s="6">
        <v>1.0</v>
      </c>
    </row>
    <row r="14">
      <c r="A14" s="6">
        <v>5.0</v>
      </c>
      <c r="B14" s="6">
        <v>5.0</v>
      </c>
      <c r="C14" s="6">
        <v>5.0</v>
      </c>
      <c r="D14" s="6">
        <v>4.0</v>
      </c>
      <c r="E14" s="6">
        <v>4.0</v>
      </c>
      <c r="F14" s="6">
        <v>4.0</v>
      </c>
      <c r="G14" s="6">
        <v>5.0</v>
      </c>
      <c r="H14" s="11">
        <v>3.0</v>
      </c>
      <c r="I14" s="6">
        <v>5.0</v>
      </c>
      <c r="J14" s="6">
        <v>4.0</v>
      </c>
      <c r="K14" s="6">
        <v>4.0</v>
      </c>
      <c r="L14" s="6">
        <v>4.0</v>
      </c>
      <c r="M14" s="6">
        <v>4.0</v>
      </c>
      <c r="N14" s="6">
        <v>5.0</v>
      </c>
      <c r="O14" s="6">
        <v>4.0</v>
      </c>
      <c r="P14" s="6">
        <v>4.0</v>
      </c>
      <c r="Q14" s="6">
        <v>4.0</v>
      </c>
      <c r="R14" s="6">
        <v>4.0</v>
      </c>
      <c r="S14" s="6">
        <v>4.0</v>
      </c>
      <c r="T14" s="6">
        <v>4.0</v>
      </c>
      <c r="U14" s="11">
        <v>4.0</v>
      </c>
      <c r="V14" s="6">
        <v>4.0</v>
      </c>
      <c r="W14" s="11">
        <v>4.0</v>
      </c>
      <c r="X14" s="11">
        <v>4.0</v>
      </c>
      <c r="Y14" s="11">
        <v>4.0</v>
      </c>
      <c r="Z14" s="6">
        <v>4.0</v>
      </c>
    </row>
    <row r="15">
      <c r="A15" s="6">
        <v>5.0</v>
      </c>
      <c r="B15" s="6">
        <v>5.0</v>
      </c>
      <c r="C15" s="6">
        <v>4.0</v>
      </c>
      <c r="D15" s="6">
        <v>4.0</v>
      </c>
      <c r="E15" s="6">
        <v>4.0</v>
      </c>
      <c r="F15" s="6">
        <v>5.0</v>
      </c>
      <c r="G15" s="6">
        <v>5.0</v>
      </c>
      <c r="H15" s="11">
        <v>5.0</v>
      </c>
      <c r="I15" s="6">
        <v>5.0</v>
      </c>
      <c r="J15" s="6">
        <v>4.0</v>
      </c>
      <c r="K15" s="6">
        <v>5.0</v>
      </c>
      <c r="L15" s="6">
        <v>5.0</v>
      </c>
      <c r="M15" s="6">
        <v>4.0</v>
      </c>
      <c r="N15" s="6">
        <v>3.0</v>
      </c>
      <c r="O15" s="6">
        <v>5.0</v>
      </c>
      <c r="P15" s="6">
        <v>5.0</v>
      </c>
      <c r="Q15" s="6">
        <v>5.0</v>
      </c>
      <c r="R15" s="6">
        <v>5.0</v>
      </c>
      <c r="S15" s="6">
        <v>5.0</v>
      </c>
      <c r="T15" s="6">
        <v>4.0</v>
      </c>
      <c r="U15" s="11">
        <v>4.0</v>
      </c>
      <c r="V15" s="6">
        <v>4.0</v>
      </c>
      <c r="W15" s="11">
        <v>4.0</v>
      </c>
      <c r="X15" s="11">
        <v>4.0</v>
      </c>
      <c r="Y15" s="11">
        <v>4.0</v>
      </c>
      <c r="Z15" s="6">
        <v>4.0</v>
      </c>
    </row>
    <row r="16">
      <c r="A16" s="6">
        <v>2.0</v>
      </c>
      <c r="B16" s="6">
        <v>4.0</v>
      </c>
      <c r="C16" s="6">
        <v>2.0</v>
      </c>
      <c r="D16" s="6">
        <v>4.0</v>
      </c>
      <c r="E16" s="6">
        <v>3.0</v>
      </c>
      <c r="F16" s="6">
        <v>3.0</v>
      </c>
      <c r="G16" s="6">
        <v>2.0</v>
      </c>
      <c r="H16" s="11">
        <v>2.0</v>
      </c>
      <c r="I16" s="6">
        <v>2.0</v>
      </c>
      <c r="J16" s="6">
        <v>2.0</v>
      </c>
      <c r="K16" s="6">
        <v>3.0</v>
      </c>
      <c r="L16" s="6">
        <v>2.0</v>
      </c>
      <c r="M16" s="6">
        <v>3.0</v>
      </c>
      <c r="N16" s="6">
        <v>3.0</v>
      </c>
      <c r="O16" s="6">
        <v>3.0</v>
      </c>
      <c r="P16" s="6">
        <v>3.0</v>
      </c>
      <c r="Q16" s="6">
        <v>3.0</v>
      </c>
      <c r="R16" s="6">
        <v>2.0</v>
      </c>
      <c r="S16" s="6">
        <v>2.0</v>
      </c>
      <c r="T16" s="6">
        <v>2.0</v>
      </c>
      <c r="U16" s="11">
        <v>3.0</v>
      </c>
      <c r="V16" s="6">
        <v>3.0</v>
      </c>
      <c r="W16" s="11">
        <v>3.0</v>
      </c>
      <c r="X16" s="11">
        <v>3.0</v>
      </c>
      <c r="Y16" s="11">
        <v>3.0</v>
      </c>
      <c r="Z16" s="6">
        <v>3.0</v>
      </c>
    </row>
    <row r="17">
      <c r="A17" s="6">
        <v>5.0</v>
      </c>
      <c r="B17" s="6">
        <v>4.0</v>
      </c>
      <c r="C17" s="6">
        <v>4.0</v>
      </c>
      <c r="D17" s="6">
        <v>5.0</v>
      </c>
      <c r="E17" s="6">
        <v>5.0</v>
      </c>
      <c r="F17" s="6">
        <v>5.0</v>
      </c>
      <c r="G17" s="6">
        <v>5.0</v>
      </c>
      <c r="H17" s="11">
        <v>5.0</v>
      </c>
      <c r="I17" s="6">
        <v>5.0</v>
      </c>
      <c r="J17" s="6">
        <v>5.0</v>
      </c>
      <c r="K17" s="6">
        <v>5.0</v>
      </c>
      <c r="L17" s="6">
        <v>5.0</v>
      </c>
      <c r="M17" s="6">
        <v>5.0</v>
      </c>
      <c r="N17" s="6">
        <v>5.0</v>
      </c>
      <c r="O17" s="6">
        <v>5.0</v>
      </c>
      <c r="P17" s="6">
        <v>5.0</v>
      </c>
      <c r="Q17" s="6">
        <v>5.0</v>
      </c>
      <c r="R17" s="6">
        <v>5.0</v>
      </c>
      <c r="S17" s="6">
        <v>5.0</v>
      </c>
      <c r="T17" s="6">
        <v>4.0</v>
      </c>
      <c r="U17" s="11">
        <v>4.0</v>
      </c>
      <c r="V17" s="6">
        <v>5.0</v>
      </c>
      <c r="W17" s="11">
        <v>3.0</v>
      </c>
      <c r="X17" s="11">
        <v>4.0</v>
      </c>
      <c r="Y17" s="11">
        <v>2.0</v>
      </c>
      <c r="Z17" s="6">
        <v>4.0</v>
      </c>
    </row>
    <row r="18">
      <c r="A18" s="6">
        <v>4.0</v>
      </c>
      <c r="B18" s="6">
        <v>4.0</v>
      </c>
      <c r="C18" s="6">
        <v>4.0</v>
      </c>
      <c r="D18" s="6">
        <v>4.0</v>
      </c>
      <c r="E18" s="6">
        <v>3.0</v>
      </c>
      <c r="F18" s="6">
        <v>2.0</v>
      </c>
      <c r="G18" s="6">
        <v>4.0</v>
      </c>
      <c r="H18" s="11">
        <v>2.0</v>
      </c>
      <c r="I18" s="6">
        <v>4.0</v>
      </c>
      <c r="J18" s="6">
        <v>2.0</v>
      </c>
      <c r="K18" s="6">
        <v>4.0</v>
      </c>
      <c r="L18" s="6">
        <v>2.0</v>
      </c>
      <c r="M18" s="6">
        <v>4.0</v>
      </c>
      <c r="N18" s="6">
        <v>4.0</v>
      </c>
      <c r="O18" s="6">
        <v>4.0</v>
      </c>
      <c r="P18" s="6">
        <v>4.0</v>
      </c>
      <c r="Q18" s="6">
        <v>3.0</v>
      </c>
      <c r="R18" s="6">
        <v>4.0</v>
      </c>
      <c r="S18" s="6">
        <v>2.0</v>
      </c>
      <c r="T18" s="6">
        <v>2.0</v>
      </c>
      <c r="U18" s="11">
        <v>2.0</v>
      </c>
      <c r="V18" s="6">
        <v>4.0</v>
      </c>
      <c r="W18" s="11">
        <v>2.0</v>
      </c>
      <c r="X18" s="11">
        <v>1.0</v>
      </c>
      <c r="Y18" s="11">
        <v>1.0</v>
      </c>
      <c r="Z18" s="6">
        <v>1.0</v>
      </c>
    </row>
    <row r="19">
      <c r="A19" s="6">
        <v>4.0</v>
      </c>
      <c r="B19" s="6">
        <v>4.0</v>
      </c>
      <c r="C19" s="6">
        <v>3.0</v>
      </c>
      <c r="D19" s="6">
        <v>4.0</v>
      </c>
      <c r="E19" s="6">
        <v>4.0</v>
      </c>
      <c r="F19" s="6">
        <v>4.0</v>
      </c>
      <c r="G19" s="6">
        <v>4.0</v>
      </c>
      <c r="H19" s="11">
        <v>3.0</v>
      </c>
      <c r="I19" s="6">
        <v>4.0</v>
      </c>
      <c r="J19" s="6">
        <v>5.0</v>
      </c>
      <c r="K19" s="6">
        <v>4.0</v>
      </c>
      <c r="L19" s="6">
        <v>5.0</v>
      </c>
      <c r="M19" s="6">
        <v>5.0</v>
      </c>
      <c r="N19" s="6">
        <v>5.0</v>
      </c>
      <c r="O19" s="6">
        <v>3.0</v>
      </c>
      <c r="P19" s="6">
        <v>4.0</v>
      </c>
      <c r="Q19" s="6">
        <v>3.0</v>
      </c>
      <c r="R19" s="6">
        <v>3.0</v>
      </c>
      <c r="S19" s="6">
        <v>2.0</v>
      </c>
      <c r="T19" s="6">
        <v>4.0</v>
      </c>
      <c r="U19" s="11">
        <v>3.0</v>
      </c>
      <c r="V19" s="6">
        <v>4.0</v>
      </c>
      <c r="W19" s="11">
        <v>4.0</v>
      </c>
      <c r="X19" s="11">
        <v>4.0</v>
      </c>
      <c r="Y19" s="11">
        <v>4.0</v>
      </c>
      <c r="Z19" s="6">
        <v>5.0</v>
      </c>
    </row>
    <row r="20">
      <c r="A20" s="6">
        <v>3.0</v>
      </c>
      <c r="B20" s="6">
        <v>1.0</v>
      </c>
      <c r="C20" s="6">
        <v>4.0</v>
      </c>
      <c r="D20" s="6">
        <v>5.0</v>
      </c>
      <c r="E20" s="6">
        <v>1.0</v>
      </c>
      <c r="F20" s="6">
        <v>1.0</v>
      </c>
      <c r="G20" s="6">
        <v>4.0</v>
      </c>
      <c r="H20" s="11">
        <v>5.0</v>
      </c>
      <c r="I20" s="6">
        <v>4.0</v>
      </c>
      <c r="J20" s="6">
        <v>5.0</v>
      </c>
      <c r="K20" s="6">
        <v>4.0</v>
      </c>
      <c r="L20" s="6">
        <v>1.0</v>
      </c>
      <c r="M20" s="6">
        <v>5.0</v>
      </c>
      <c r="N20" s="6">
        <v>2.0</v>
      </c>
      <c r="O20" s="6">
        <v>1.0</v>
      </c>
      <c r="P20" s="6">
        <v>1.0</v>
      </c>
      <c r="Q20" s="6">
        <v>4.0</v>
      </c>
      <c r="R20" s="6">
        <v>4.0</v>
      </c>
      <c r="S20" s="6">
        <v>5.0</v>
      </c>
      <c r="T20" s="6">
        <v>1.0</v>
      </c>
      <c r="U20" s="11">
        <v>1.0</v>
      </c>
      <c r="V20" s="6">
        <v>4.0</v>
      </c>
      <c r="W20" s="11">
        <v>1.0</v>
      </c>
      <c r="X20" s="11">
        <v>1.0</v>
      </c>
      <c r="Y20" s="11">
        <v>4.0</v>
      </c>
      <c r="Z20" s="6">
        <v>4.0</v>
      </c>
    </row>
    <row r="21">
      <c r="A21" s="6">
        <v>3.0</v>
      </c>
      <c r="B21" s="6">
        <v>2.0</v>
      </c>
      <c r="C21" s="6">
        <v>4.0</v>
      </c>
      <c r="D21" s="6">
        <v>2.0</v>
      </c>
      <c r="E21" s="6">
        <v>5.0</v>
      </c>
      <c r="F21" s="6">
        <v>2.0</v>
      </c>
      <c r="G21" s="6">
        <v>4.0</v>
      </c>
      <c r="H21" s="11">
        <v>1.0</v>
      </c>
      <c r="I21" s="6">
        <v>5.0</v>
      </c>
      <c r="J21" s="6">
        <v>3.0</v>
      </c>
      <c r="K21" s="6">
        <v>2.0</v>
      </c>
      <c r="L21" s="6">
        <v>2.0</v>
      </c>
      <c r="M21" s="6">
        <v>4.0</v>
      </c>
      <c r="N21" s="6">
        <v>4.0</v>
      </c>
      <c r="O21" s="6">
        <v>3.0</v>
      </c>
      <c r="P21" s="6">
        <v>5.0</v>
      </c>
      <c r="Q21" s="6">
        <v>2.0</v>
      </c>
      <c r="R21" s="6">
        <v>2.0</v>
      </c>
      <c r="S21" s="6">
        <v>2.0</v>
      </c>
      <c r="T21" s="6">
        <v>4.0</v>
      </c>
      <c r="U21" s="11">
        <v>4.0</v>
      </c>
      <c r="V21" s="6">
        <v>5.0</v>
      </c>
      <c r="W21" s="11">
        <v>2.0</v>
      </c>
      <c r="X21" s="11">
        <v>4.0</v>
      </c>
      <c r="Y21" s="11">
        <v>1.0</v>
      </c>
      <c r="Z21" s="6">
        <v>3.0</v>
      </c>
    </row>
    <row r="22">
      <c r="A22" s="6">
        <v>3.0</v>
      </c>
      <c r="B22" s="6">
        <v>4.0</v>
      </c>
      <c r="C22" s="6">
        <v>3.0</v>
      </c>
      <c r="D22" s="6">
        <v>2.0</v>
      </c>
      <c r="E22" s="6">
        <v>3.0</v>
      </c>
      <c r="F22" s="6">
        <v>2.0</v>
      </c>
      <c r="G22" s="6">
        <v>3.0</v>
      </c>
      <c r="H22" s="11">
        <v>3.0</v>
      </c>
      <c r="I22" s="6">
        <v>4.0</v>
      </c>
      <c r="J22" s="6">
        <v>4.0</v>
      </c>
      <c r="K22" s="6">
        <v>4.0</v>
      </c>
      <c r="L22" s="6">
        <v>4.0</v>
      </c>
      <c r="M22" s="6">
        <v>4.0</v>
      </c>
      <c r="N22" s="6">
        <v>5.0</v>
      </c>
      <c r="O22" s="6">
        <v>4.0</v>
      </c>
      <c r="P22" s="6">
        <v>4.0</v>
      </c>
      <c r="Q22" s="6">
        <v>4.0</v>
      </c>
      <c r="R22" s="6">
        <v>4.0</v>
      </c>
      <c r="S22" s="6">
        <v>4.0</v>
      </c>
      <c r="T22" s="6">
        <v>4.0</v>
      </c>
      <c r="U22" s="11">
        <v>4.0</v>
      </c>
      <c r="V22" s="6">
        <v>3.0</v>
      </c>
      <c r="W22" s="11">
        <v>3.0</v>
      </c>
      <c r="X22" s="11">
        <v>4.0</v>
      </c>
      <c r="Y22" s="11">
        <v>4.0</v>
      </c>
      <c r="Z22" s="6">
        <v>4.0</v>
      </c>
    </row>
    <row r="23">
      <c r="A23" s="6">
        <v>3.0</v>
      </c>
      <c r="B23" s="6">
        <v>4.0</v>
      </c>
      <c r="C23" s="6">
        <v>4.0</v>
      </c>
      <c r="D23" s="6">
        <v>2.0</v>
      </c>
      <c r="E23" s="6">
        <v>2.0</v>
      </c>
      <c r="F23" s="6">
        <v>5.0</v>
      </c>
      <c r="G23" s="6">
        <v>4.0</v>
      </c>
      <c r="H23" s="11">
        <v>2.0</v>
      </c>
      <c r="I23" s="6">
        <v>2.0</v>
      </c>
      <c r="J23" s="6">
        <v>3.0</v>
      </c>
      <c r="K23" s="6">
        <v>3.0</v>
      </c>
      <c r="L23" s="6">
        <v>2.0</v>
      </c>
      <c r="M23" s="6">
        <v>4.0</v>
      </c>
      <c r="N23" s="6">
        <v>2.0</v>
      </c>
      <c r="O23" s="6">
        <v>2.0</v>
      </c>
      <c r="P23" s="6">
        <v>2.0</v>
      </c>
      <c r="Q23" s="6">
        <v>3.0</v>
      </c>
      <c r="R23" s="6">
        <v>3.0</v>
      </c>
      <c r="S23" s="6">
        <v>4.0</v>
      </c>
      <c r="T23" s="6">
        <v>4.0</v>
      </c>
      <c r="U23" s="11">
        <v>3.0</v>
      </c>
      <c r="V23" s="6">
        <v>4.0</v>
      </c>
      <c r="W23" s="11">
        <v>2.0</v>
      </c>
      <c r="X23" s="11">
        <v>2.0</v>
      </c>
      <c r="Y23" s="11">
        <v>2.0</v>
      </c>
      <c r="Z23" s="6">
        <v>3.0</v>
      </c>
    </row>
    <row r="24">
      <c r="A24" s="6">
        <v>3.0</v>
      </c>
      <c r="B24" s="6">
        <v>2.0</v>
      </c>
      <c r="C24" s="6">
        <v>4.0</v>
      </c>
      <c r="D24" s="6">
        <v>1.0</v>
      </c>
      <c r="E24" s="6">
        <v>2.0</v>
      </c>
      <c r="F24" s="6">
        <v>3.0</v>
      </c>
      <c r="G24" s="6">
        <v>4.0</v>
      </c>
      <c r="H24" s="11">
        <v>3.0</v>
      </c>
      <c r="I24" s="6">
        <v>4.0</v>
      </c>
      <c r="J24" s="6">
        <v>4.0</v>
      </c>
      <c r="K24" s="6">
        <v>4.0</v>
      </c>
      <c r="L24" s="6">
        <v>3.0</v>
      </c>
      <c r="M24" s="6">
        <v>3.0</v>
      </c>
      <c r="N24" s="6">
        <v>4.0</v>
      </c>
      <c r="O24" s="6">
        <v>4.0</v>
      </c>
      <c r="P24" s="6">
        <v>5.0</v>
      </c>
      <c r="Q24" s="6">
        <v>5.0</v>
      </c>
      <c r="R24" s="6">
        <v>4.0</v>
      </c>
      <c r="S24" s="6">
        <v>4.0</v>
      </c>
      <c r="T24" s="6">
        <v>3.0</v>
      </c>
      <c r="U24" s="11">
        <v>4.0</v>
      </c>
      <c r="V24" s="6">
        <v>5.0</v>
      </c>
      <c r="W24" s="11">
        <v>5.0</v>
      </c>
      <c r="X24" s="11">
        <v>5.0</v>
      </c>
      <c r="Y24" s="11">
        <v>5.0</v>
      </c>
      <c r="Z24" s="6">
        <v>4.0</v>
      </c>
    </row>
    <row r="25">
      <c r="A25" s="6">
        <v>4.0</v>
      </c>
      <c r="B25" s="6">
        <v>1.0</v>
      </c>
      <c r="C25" s="6">
        <v>2.0</v>
      </c>
      <c r="D25" s="6">
        <v>3.0</v>
      </c>
      <c r="E25" s="6">
        <v>4.0</v>
      </c>
      <c r="F25" s="6">
        <v>4.0</v>
      </c>
      <c r="G25" s="6">
        <v>4.0</v>
      </c>
      <c r="H25" s="11">
        <v>3.0</v>
      </c>
      <c r="I25" s="6">
        <v>4.0</v>
      </c>
      <c r="J25" s="6">
        <v>3.0</v>
      </c>
      <c r="K25" s="6">
        <v>5.0</v>
      </c>
      <c r="L25" s="6">
        <v>5.0</v>
      </c>
      <c r="M25" s="6">
        <v>5.0</v>
      </c>
      <c r="N25" s="6">
        <v>2.0</v>
      </c>
      <c r="O25" s="6">
        <v>5.0</v>
      </c>
      <c r="P25" s="6">
        <v>2.0</v>
      </c>
      <c r="Q25" s="6">
        <v>5.0</v>
      </c>
      <c r="R25" s="6">
        <v>5.0</v>
      </c>
      <c r="S25" s="6">
        <v>4.0</v>
      </c>
      <c r="T25" s="6">
        <v>3.0</v>
      </c>
      <c r="U25" s="11">
        <v>1.0</v>
      </c>
      <c r="V25" s="6">
        <v>5.0</v>
      </c>
      <c r="W25" s="11">
        <v>4.0</v>
      </c>
      <c r="X25" s="11">
        <v>2.0</v>
      </c>
      <c r="Y25" s="11">
        <v>4.0</v>
      </c>
      <c r="Z25" s="6">
        <v>4.0</v>
      </c>
    </row>
    <row r="26">
      <c r="A26" s="12">
        <f t="shared" ref="A26:Z26" si="1">AVERAGE(A2:A25)</f>
        <v>3.875</v>
      </c>
      <c r="B26" s="12">
        <f t="shared" si="1"/>
        <v>3.708333333</v>
      </c>
      <c r="C26" s="12">
        <f t="shared" si="1"/>
        <v>3.666666667</v>
      </c>
      <c r="D26" s="12">
        <f t="shared" si="1"/>
        <v>3.75</v>
      </c>
      <c r="E26" s="12">
        <f t="shared" si="1"/>
        <v>3.583333333</v>
      </c>
      <c r="F26" s="12">
        <f t="shared" si="1"/>
        <v>3.458333333</v>
      </c>
      <c r="G26" s="12">
        <f t="shared" si="1"/>
        <v>3.791666667</v>
      </c>
      <c r="H26" s="13">
        <f t="shared" si="1"/>
        <v>3.125</v>
      </c>
      <c r="I26" s="12">
        <f t="shared" si="1"/>
        <v>3.75</v>
      </c>
      <c r="J26" s="12">
        <f t="shared" si="1"/>
        <v>3.791666667</v>
      </c>
      <c r="K26" s="12">
        <f t="shared" si="1"/>
        <v>3.75</v>
      </c>
      <c r="L26" s="12">
        <f t="shared" si="1"/>
        <v>3.458333333</v>
      </c>
      <c r="M26" s="12">
        <f t="shared" si="1"/>
        <v>3.916666667</v>
      </c>
      <c r="N26" s="12">
        <f t="shared" si="1"/>
        <v>3.75</v>
      </c>
      <c r="O26" s="12">
        <f t="shared" si="1"/>
        <v>3.875</v>
      </c>
      <c r="P26" s="12">
        <f t="shared" si="1"/>
        <v>3.916666667</v>
      </c>
      <c r="Q26" s="12">
        <f t="shared" si="1"/>
        <v>3.75</v>
      </c>
      <c r="R26" s="12">
        <f t="shared" si="1"/>
        <v>3.791666667</v>
      </c>
      <c r="S26" s="12">
        <f t="shared" si="1"/>
        <v>3.583333333</v>
      </c>
      <c r="T26" s="12">
        <f t="shared" si="1"/>
        <v>3.458333333</v>
      </c>
      <c r="U26" s="13">
        <f t="shared" si="1"/>
        <v>3.291666667</v>
      </c>
      <c r="V26" s="12">
        <f t="shared" si="1"/>
        <v>3.916666667</v>
      </c>
      <c r="W26" s="13">
        <f t="shared" si="1"/>
        <v>3.166666667</v>
      </c>
      <c r="X26" s="13">
        <f t="shared" si="1"/>
        <v>3.375</v>
      </c>
      <c r="Y26" s="13">
        <f t="shared" si="1"/>
        <v>3.375</v>
      </c>
      <c r="Z26" s="12">
        <f t="shared" si="1"/>
        <v>3.708333333</v>
      </c>
    </row>
    <row r="27">
      <c r="A27" s="8">
        <f t="shared" ref="A27:Z27" si="2">MODE(A2:A25)</f>
        <v>4</v>
      </c>
      <c r="B27" s="8">
        <f t="shared" si="2"/>
        <v>4</v>
      </c>
      <c r="C27" s="8">
        <f t="shared" si="2"/>
        <v>4</v>
      </c>
      <c r="D27" s="8">
        <f t="shared" si="2"/>
        <v>4</v>
      </c>
      <c r="E27" s="8">
        <f t="shared" si="2"/>
        <v>4</v>
      </c>
      <c r="F27" s="8">
        <f t="shared" si="2"/>
        <v>4</v>
      </c>
      <c r="G27" s="8">
        <f t="shared" si="2"/>
        <v>4</v>
      </c>
      <c r="H27" s="14">
        <f t="shared" si="2"/>
        <v>3</v>
      </c>
      <c r="I27" s="8">
        <f t="shared" si="2"/>
        <v>4</v>
      </c>
      <c r="J27" s="8">
        <f t="shared" si="2"/>
        <v>4</v>
      </c>
      <c r="K27" s="8">
        <f t="shared" si="2"/>
        <v>4</v>
      </c>
      <c r="L27" s="8">
        <f t="shared" si="2"/>
        <v>4</v>
      </c>
      <c r="M27" s="8">
        <f t="shared" si="2"/>
        <v>4</v>
      </c>
      <c r="N27" s="8">
        <f t="shared" si="2"/>
        <v>4</v>
      </c>
      <c r="O27" s="8">
        <f t="shared" si="2"/>
        <v>4</v>
      </c>
      <c r="P27" s="8">
        <f t="shared" si="2"/>
        <v>5</v>
      </c>
      <c r="Q27" s="8">
        <f t="shared" si="2"/>
        <v>4</v>
      </c>
      <c r="R27" s="8">
        <f t="shared" si="2"/>
        <v>4</v>
      </c>
      <c r="S27" s="8">
        <f t="shared" si="2"/>
        <v>4</v>
      </c>
      <c r="T27" s="8">
        <f t="shared" si="2"/>
        <v>4</v>
      </c>
      <c r="U27" s="14">
        <f t="shared" si="2"/>
        <v>4</v>
      </c>
      <c r="V27" s="8">
        <f t="shared" si="2"/>
        <v>4</v>
      </c>
      <c r="W27" s="14">
        <f t="shared" si="2"/>
        <v>4</v>
      </c>
      <c r="X27" s="14">
        <f t="shared" si="2"/>
        <v>4</v>
      </c>
      <c r="Y27" s="14">
        <f t="shared" si="2"/>
        <v>4</v>
      </c>
      <c r="Z27" s="8">
        <f t="shared" si="2"/>
        <v>4</v>
      </c>
    </row>
    <row r="28">
      <c r="A28" s="6" t="s">
        <v>128</v>
      </c>
      <c r="B28" s="6" t="s">
        <v>128</v>
      </c>
      <c r="C28" s="6" t="s">
        <v>128</v>
      </c>
      <c r="D28" s="6" t="s">
        <v>128</v>
      </c>
      <c r="E28" s="6" t="s">
        <v>128</v>
      </c>
      <c r="F28" s="6" t="s">
        <v>128</v>
      </c>
      <c r="G28" s="6" t="s">
        <v>128</v>
      </c>
      <c r="H28" s="11" t="s">
        <v>129</v>
      </c>
      <c r="I28" s="6" t="s">
        <v>128</v>
      </c>
      <c r="J28" s="6" t="s">
        <v>128</v>
      </c>
      <c r="K28" s="6" t="s">
        <v>128</v>
      </c>
      <c r="L28" s="6" t="s">
        <v>128</v>
      </c>
      <c r="M28" s="6" t="s">
        <v>128</v>
      </c>
      <c r="N28" s="6" t="s">
        <v>128</v>
      </c>
      <c r="O28" s="6" t="s">
        <v>128</v>
      </c>
      <c r="P28" s="6" t="s">
        <v>128</v>
      </c>
      <c r="Q28" s="6" t="s">
        <v>128</v>
      </c>
      <c r="R28" s="6" t="s">
        <v>128</v>
      </c>
      <c r="S28" s="6" t="s">
        <v>128</v>
      </c>
      <c r="T28" s="6" t="s">
        <v>128</v>
      </c>
      <c r="U28" s="11" t="s">
        <v>129</v>
      </c>
      <c r="V28" s="6" t="s">
        <v>128</v>
      </c>
      <c r="W28" s="11" t="s">
        <v>129</v>
      </c>
      <c r="X28" s="11" t="s">
        <v>129</v>
      </c>
      <c r="Y28" s="11" t="s">
        <v>129</v>
      </c>
      <c r="Z28" s="6" t="s">
        <v>128</v>
      </c>
    </row>
    <row r="29">
      <c r="A29" s="6" t="s">
        <v>126</v>
      </c>
      <c r="B29" s="9">
        <f>min(A26:Z26)</f>
        <v>3.125</v>
      </c>
      <c r="H29" s="14"/>
      <c r="U29" s="14"/>
      <c r="W29" s="14"/>
      <c r="X29" s="14"/>
      <c r="Y29" s="14"/>
    </row>
    <row r="30">
      <c r="A30" s="6" t="s">
        <v>127</v>
      </c>
      <c r="B30" s="9">
        <f>Max(A26:Z26)</f>
        <v>3.916666667</v>
      </c>
      <c r="H30" s="14"/>
      <c r="U30" s="14"/>
      <c r="W30" s="14"/>
      <c r="X30" s="14"/>
      <c r="Y30" s="14"/>
    </row>
    <row r="31">
      <c r="A31" s="6" t="s">
        <v>124</v>
      </c>
      <c r="B31" s="9">
        <f>AVERAGE(A26:Z26)</f>
        <v>3.637820513</v>
      </c>
      <c r="H31" s="14"/>
      <c r="U31" s="14"/>
      <c r="W31" s="14"/>
      <c r="X31" s="14"/>
      <c r="Y31" s="14"/>
    </row>
    <row r="32">
      <c r="H32" s="14"/>
      <c r="U32" s="14"/>
      <c r="W32" s="14"/>
      <c r="X32" s="14"/>
      <c r="Y32" s="14"/>
    </row>
    <row r="33">
      <c r="H33" s="14"/>
      <c r="U33" s="14"/>
      <c r="W33" s="14"/>
      <c r="X33" s="14"/>
      <c r="Y33" s="14"/>
    </row>
    <row r="34">
      <c r="H34" s="14"/>
      <c r="U34" s="14"/>
      <c r="W34" s="14"/>
      <c r="X34" s="14"/>
      <c r="Y34" s="14"/>
    </row>
    <row r="35">
      <c r="H35" s="14"/>
      <c r="U35" s="14"/>
      <c r="W35" s="14"/>
      <c r="X35" s="14"/>
      <c r="Y35" s="14"/>
    </row>
    <row r="36">
      <c r="H36" s="14"/>
      <c r="U36" s="14"/>
      <c r="W36" s="14"/>
      <c r="X36" s="14"/>
      <c r="Y36" s="14"/>
    </row>
    <row r="37">
      <c r="H37" s="14"/>
      <c r="U37" s="14"/>
      <c r="W37" s="14"/>
      <c r="X37" s="14"/>
      <c r="Y37" s="14"/>
    </row>
    <row r="38">
      <c r="H38" s="14"/>
      <c r="U38" s="14"/>
      <c r="W38" s="14"/>
      <c r="X38" s="14"/>
      <c r="Y38" s="14"/>
    </row>
    <row r="39">
      <c r="H39" s="14"/>
      <c r="U39" s="14"/>
      <c r="W39" s="14"/>
      <c r="X39" s="14"/>
      <c r="Y39" s="14"/>
    </row>
    <row r="40">
      <c r="H40" s="14"/>
      <c r="U40" s="14"/>
      <c r="W40" s="14"/>
      <c r="X40" s="14"/>
      <c r="Y40" s="14"/>
    </row>
    <row r="41">
      <c r="H41" s="14"/>
      <c r="U41" s="14"/>
      <c r="W41" s="14"/>
      <c r="X41" s="14"/>
      <c r="Y41" s="14"/>
    </row>
    <row r="42">
      <c r="H42" s="14"/>
      <c r="U42" s="14"/>
      <c r="W42" s="14"/>
      <c r="X42" s="14"/>
      <c r="Y42" s="14"/>
    </row>
    <row r="43">
      <c r="H43" s="14"/>
      <c r="U43" s="14"/>
      <c r="W43" s="14"/>
      <c r="X43" s="14"/>
      <c r="Y43" s="14"/>
    </row>
    <row r="44">
      <c r="H44" s="14"/>
      <c r="U44" s="14"/>
      <c r="W44" s="14"/>
      <c r="X44" s="14"/>
      <c r="Y44" s="14"/>
    </row>
    <row r="45">
      <c r="H45" s="14"/>
      <c r="U45" s="14"/>
      <c r="W45" s="14"/>
      <c r="X45" s="14"/>
      <c r="Y45" s="14"/>
    </row>
    <row r="46">
      <c r="H46" s="14"/>
      <c r="U46" s="14"/>
      <c r="W46" s="14"/>
      <c r="X46" s="14"/>
      <c r="Y46" s="14"/>
    </row>
    <row r="47">
      <c r="H47" s="14"/>
      <c r="U47" s="14"/>
      <c r="W47" s="14"/>
      <c r="X47" s="14"/>
      <c r="Y47" s="14"/>
    </row>
    <row r="48">
      <c r="H48" s="14"/>
      <c r="U48" s="14"/>
      <c r="W48" s="14"/>
      <c r="X48" s="14"/>
      <c r="Y48" s="14"/>
    </row>
    <row r="49">
      <c r="H49" s="14"/>
      <c r="U49" s="14"/>
      <c r="W49" s="14"/>
      <c r="X49" s="14"/>
      <c r="Y49" s="14"/>
    </row>
    <row r="50">
      <c r="H50" s="14"/>
      <c r="U50" s="14"/>
      <c r="W50" s="14"/>
      <c r="X50" s="14"/>
      <c r="Y50" s="14"/>
    </row>
    <row r="51">
      <c r="H51" s="14"/>
      <c r="U51" s="14"/>
      <c r="W51" s="14"/>
      <c r="X51" s="14"/>
      <c r="Y51" s="14"/>
    </row>
    <row r="52">
      <c r="H52" s="14"/>
      <c r="U52" s="14"/>
      <c r="W52" s="14"/>
      <c r="X52" s="14"/>
      <c r="Y52" s="14"/>
    </row>
    <row r="53">
      <c r="H53" s="14"/>
      <c r="U53" s="14"/>
      <c r="W53" s="14"/>
      <c r="X53" s="14"/>
      <c r="Y53" s="14"/>
    </row>
    <row r="54">
      <c r="H54" s="14"/>
      <c r="U54" s="14"/>
      <c r="W54" s="14"/>
      <c r="X54" s="14"/>
      <c r="Y54" s="14"/>
    </row>
    <row r="55">
      <c r="H55" s="14"/>
      <c r="U55" s="14"/>
      <c r="W55" s="14"/>
      <c r="X55" s="14"/>
      <c r="Y55" s="14"/>
    </row>
    <row r="56">
      <c r="H56" s="14"/>
      <c r="U56" s="14"/>
      <c r="W56" s="14"/>
      <c r="X56" s="14"/>
      <c r="Y56" s="14"/>
    </row>
    <row r="57">
      <c r="H57" s="14"/>
      <c r="U57" s="14"/>
      <c r="W57" s="14"/>
      <c r="X57" s="14"/>
      <c r="Y57" s="14"/>
    </row>
    <row r="58">
      <c r="H58" s="14"/>
      <c r="U58" s="14"/>
      <c r="W58" s="14"/>
      <c r="X58" s="14"/>
      <c r="Y58" s="14"/>
    </row>
    <row r="59">
      <c r="H59" s="14"/>
      <c r="U59" s="14"/>
      <c r="W59" s="14"/>
      <c r="X59" s="14"/>
      <c r="Y59" s="14"/>
    </row>
    <row r="60">
      <c r="H60" s="14"/>
      <c r="U60" s="14"/>
      <c r="W60" s="14"/>
      <c r="X60" s="14"/>
      <c r="Y60" s="14"/>
    </row>
    <row r="61">
      <c r="H61" s="14"/>
      <c r="U61" s="14"/>
      <c r="W61" s="14"/>
      <c r="X61" s="14"/>
      <c r="Y61" s="14"/>
    </row>
    <row r="62">
      <c r="H62" s="14"/>
      <c r="U62" s="14"/>
      <c r="W62" s="14"/>
      <c r="X62" s="14"/>
      <c r="Y62" s="14"/>
    </row>
    <row r="63">
      <c r="H63" s="14"/>
      <c r="U63" s="14"/>
      <c r="W63" s="14"/>
      <c r="X63" s="14"/>
      <c r="Y63" s="14"/>
    </row>
    <row r="64">
      <c r="H64" s="14"/>
      <c r="U64" s="14"/>
      <c r="W64" s="14"/>
      <c r="X64" s="14"/>
      <c r="Y64" s="14"/>
    </row>
    <row r="65">
      <c r="H65" s="14"/>
      <c r="U65" s="14"/>
      <c r="W65" s="14"/>
      <c r="X65" s="14"/>
      <c r="Y65" s="14"/>
    </row>
    <row r="66">
      <c r="H66" s="14"/>
      <c r="U66" s="14"/>
      <c r="W66" s="14"/>
      <c r="X66" s="14"/>
      <c r="Y66" s="14"/>
    </row>
    <row r="67">
      <c r="H67" s="14"/>
      <c r="U67" s="14"/>
      <c r="W67" s="14"/>
      <c r="X67" s="14"/>
      <c r="Y67" s="14"/>
    </row>
    <row r="68">
      <c r="H68" s="14"/>
      <c r="U68" s="14"/>
      <c r="W68" s="14"/>
      <c r="X68" s="14"/>
      <c r="Y68" s="14"/>
    </row>
    <row r="69">
      <c r="H69" s="14"/>
      <c r="U69" s="14"/>
      <c r="W69" s="14"/>
      <c r="X69" s="14"/>
      <c r="Y69" s="14"/>
    </row>
    <row r="70">
      <c r="H70" s="14"/>
      <c r="U70" s="14"/>
      <c r="W70" s="14"/>
      <c r="X70" s="14"/>
      <c r="Y70" s="14"/>
    </row>
    <row r="71">
      <c r="H71" s="14"/>
      <c r="U71" s="14"/>
      <c r="W71" s="14"/>
      <c r="X71" s="14"/>
      <c r="Y71" s="14"/>
    </row>
    <row r="72">
      <c r="H72" s="14"/>
      <c r="U72" s="14"/>
      <c r="W72" s="14"/>
      <c r="X72" s="14"/>
      <c r="Y72" s="14"/>
    </row>
    <row r="73">
      <c r="H73" s="14"/>
      <c r="U73" s="14"/>
      <c r="W73" s="14"/>
      <c r="X73" s="14"/>
      <c r="Y73" s="14"/>
    </row>
    <row r="74">
      <c r="H74" s="14"/>
      <c r="U74" s="14"/>
      <c r="W74" s="14"/>
      <c r="X74" s="14"/>
      <c r="Y74" s="14"/>
    </row>
    <row r="75">
      <c r="H75" s="14"/>
      <c r="U75" s="14"/>
      <c r="W75" s="14"/>
      <c r="X75" s="14"/>
      <c r="Y75" s="14"/>
    </row>
    <row r="76">
      <c r="H76" s="14"/>
      <c r="U76" s="14"/>
      <c r="W76" s="14"/>
      <c r="X76" s="14"/>
      <c r="Y76" s="14"/>
    </row>
    <row r="77">
      <c r="H77" s="14"/>
      <c r="U77" s="14"/>
      <c r="W77" s="14"/>
      <c r="X77" s="14"/>
      <c r="Y77" s="14"/>
    </row>
    <row r="78">
      <c r="H78" s="14"/>
      <c r="U78" s="14"/>
      <c r="W78" s="14"/>
      <c r="X78" s="14"/>
      <c r="Y78" s="14"/>
    </row>
    <row r="79">
      <c r="H79" s="14"/>
      <c r="U79" s="14"/>
      <c r="W79" s="14"/>
      <c r="X79" s="14"/>
      <c r="Y79" s="14"/>
    </row>
    <row r="80">
      <c r="H80" s="14"/>
      <c r="U80" s="14"/>
      <c r="W80" s="14"/>
      <c r="X80" s="14"/>
      <c r="Y80" s="14"/>
    </row>
    <row r="81">
      <c r="H81" s="14"/>
      <c r="U81" s="14"/>
      <c r="W81" s="14"/>
      <c r="X81" s="14"/>
      <c r="Y81" s="14"/>
    </row>
    <row r="82">
      <c r="H82" s="14"/>
      <c r="U82" s="14"/>
      <c r="W82" s="14"/>
      <c r="X82" s="14"/>
      <c r="Y82" s="14"/>
    </row>
    <row r="83">
      <c r="H83" s="14"/>
      <c r="U83" s="14"/>
      <c r="W83" s="14"/>
      <c r="X83" s="14"/>
      <c r="Y83" s="14"/>
    </row>
    <row r="84">
      <c r="H84" s="14"/>
      <c r="U84" s="14"/>
      <c r="W84" s="14"/>
      <c r="X84" s="14"/>
      <c r="Y84" s="14"/>
    </row>
    <row r="85">
      <c r="H85" s="14"/>
      <c r="U85" s="14"/>
      <c r="W85" s="14"/>
      <c r="X85" s="14"/>
      <c r="Y85" s="14"/>
    </row>
    <row r="86">
      <c r="H86" s="14"/>
      <c r="U86" s="14"/>
      <c r="W86" s="14"/>
      <c r="X86" s="14"/>
      <c r="Y86" s="14"/>
    </row>
    <row r="87">
      <c r="H87" s="14"/>
      <c r="U87" s="14"/>
      <c r="W87" s="14"/>
      <c r="X87" s="14"/>
      <c r="Y87" s="14"/>
    </row>
    <row r="88">
      <c r="H88" s="14"/>
      <c r="U88" s="14"/>
      <c r="W88" s="14"/>
      <c r="X88" s="14"/>
      <c r="Y88" s="14"/>
    </row>
    <row r="89">
      <c r="H89" s="14"/>
      <c r="U89" s="14"/>
      <c r="W89" s="14"/>
      <c r="X89" s="14"/>
      <c r="Y89" s="14"/>
    </row>
    <row r="90">
      <c r="H90" s="14"/>
      <c r="U90" s="14"/>
      <c r="W90" s="14"/>
      <c r="X90" s="14"/>
      <c r="Y90" s="14"/>
    </row>
    <row r="91">
      <c r="H91" s="14"/>
      <c r="U91" s="14"/>
      <c r="W91" s="14"/>
      <c r="X91" s="14"/>
      <c r="Y91" s="14"/>
    </row>
    <row r="92">
      <c r="H92" s="14"/>
      <c r="U92" s="14"/>
      <c r="W92" s="14"/>
      <c r="X92" s="14"/>
      <c r="Y92" s="14"/>
    </row>
    <row r="93">
      <c r="H93" s="14"/>
      <c r="U93" s="14"/>
      <c r="W93" s="14"/>
      <c r="X93" s="14"/>
      <c r="Y93" s="14"/>
    </row>
    <row r="94">
      <c r="H94" s="14"/>
      <c r="U94" s="14"/>
      <c r="W94" s="14"/>
      <c r="X94" s="14"/>
      <c r="Y94" s="14"/>
    </row>
    <row r="95">
      <c r="H95" s="14"/>
      <c r="U95" s="14"/>
      <c r="W95" s="14"/>
      <c r="X95" s="14"/>
      <c r="Y95" s="14"/>
    </row>
    <row r="96">
      <c r="H96" s="14"/>
      <c r="U96" s="14"/>
      <c r="W96" s="14"/>
      <c r="X96" s="14"/>
      <c r="Y96" s="14"/>
    </row>
    <row r="97">
      <c r="H97" s="14"/>
      <c r="U97" s="14"/>
      <c r="W97" s="14"/>
      <c r="X97" s="14"/>
      <c r="Y97" s="14"/>
    </row>
    <row r="98">
      <c r="H98" s="14"/>
      <c r="U98" s="14"/>
      <c r="W98" s="14"/>
      <c r="X98" s="14"/>
      <c r="Y98" s="14"/>
    </row>
    <row r="99">
      <c r="H99" s="14"/>
      <c r="U99" s="14"/>
      <c r="W99" s="14"/>
      <c r="X99" s="14"/>
      <c r="Y99" s="14"/>
    </row>
    <row r="100">
      <c r="H100" s="14"/>
      <c r="U100" s="14"/>
      <c r="W100" s="14"/>
      <c r="X100" s="14"/>
      <c r="Y100" s="14"/>
    </row>
    <row r="101">
      <c r="H101" s="14"/>
      <c r="U101" s="14"/>
      <c r="W101" s="14"/>
      <c r="X101" s="14"/>
      <c r="Y101" s="14"/>
    </row>
    <row r="102">
      <c r="H102" s="14"/>
      <c r="U102" s="14"/>
      <c r="W102" s="14"/>
      <c r="X102" s="14"/>
      <c r="Y102" s="14"/>
    </row>
    <row r="103">
      <c r="H103" s="14"/>
      <c r="U103" s="14"/>
      <c r="W103" s="14"/>
      <c r="X103" s="14"/>
      <c r="Y103" s="14"/>
    </row>
    <row r="104">
      <c r="H104" s="14"/>
      <c r="U104" s="14"/>
      <c r="W104" s="14"/>
      <c r="X104" s="14"/>
      <c r="Y104" s="14"/>
    </row>
    <row r="105">
      <c r="H105" s="14"/>
      <c r="U105" s="14"/>
      <c r="W105" s="14"/>
      <c r="X105" s="14"/>
      <c r="Y105" s="14"/>
    </row>
    <row r="106">
      <c r="H106" s="14"/>
      <c r="U106" s="14"/>
      <c r="W106" s="14"/>
      <c r="X106" s="14"/>
      <c r="Y106" s="14"/>
    </row>
    <row r="107">
      <c r="H107" s="14"/>
      <c r="U107" s="14"/>
      <c r="W107" s="14"/>
      <c r="X107" s="14"/>
      <c r="Y107" s="14"/>
    </row>
    <row r="108">
      <c r="H108" s="14"/>
      <c r="U108" s="14"/>
      <c r="W108" s="14"/>
      <c r="X108" s="14"/>
      <c r="Y108" s="14"/>
    </row>
    <row r="109">
      <c r="H109" s="14"/>
      <c r="U109" s="14"/>
      <c r="W109" s="14"/>
      <c r="X109" s="14"/>
      <c r="Y109" s="14"/>
    </row>
    <row r="110">
      <c r="H110" s="14"/>
      <c r="U110" s="14"/>
      <c r="W110" s="14"/>
      <c r="X110" s="14"/>
      <c r="Y110" s="14"/>
    </row>
    <row r="111">
      <c r="H111" s="14"/>
      <c r="U111" s="14"/>
      <c r="W111" s="14"/>
      <c r="X111" s="14"/>
      <c r="Y111" s="14"/>
    </row>
    <row r="112">
      <c r="H112" s="14"/>
      <c r="U112" s="14"/>
      <c r="W112" s="14"/>
      <c r="X112" s="14"/>
      <c r="Y112" s="14"/>
    </row>
    <row r="113">
      <c r="H113" s="14"/>
      <c r="U113" s="14"/>
      <c r="W113" s="14"/>
      <c r="X113" s="14"/>
      <c r="Y113" s="14"/>
    </row>
    <row r="114">
      <c r="H114" s="14"/>
      <c r="U114" s="14"/>
      <c r="W114" s="14"/>
      <c r="X114" s="14"/>
      <c r="Y114" s="14"/>
    </row>
    <row r="115">
      <c r="H115" s="14"/>
      <c r="U115" s="14"/>
      <c r="W115" s="14"/>
      <c r="X115" s="14"/>
      <c r="Y115" s="14"/>
    </row>
    <row r="116">
      <c r="H116" s="14"/>
      <c r="U116" s="14"/>
      <c r="W116" s="14"/>
      <c r="X116" s="14"/>
      <c r="Y116" s="14"/>
    </row>
    <row r="117">
      <c r="H117" s="14"/>
      <c r="U117" s="14"/>
      <c r="W117" s="14"/>
      <c r="X117" s="14"/>
      <c r="Y117" s="14"/>
    </row>
    <row r="118">
      <c r="H118" s="14"/>
      <c r="U118" s="14"/>
      <c r="W118" s="14"/>
      <c r="X118" s="14"/>
      <c r="Y118" s="14"/>
    </row>
    <row r="119">
      <c r="H119" s="14"/>
      <c r="U119" s="14"/>
      <c r="W119" s="14"/>
      <c r="X119" s="14"/>
      <c r="Y119" s="14"/>
    </row>
    <row r="120">
      <c r="H120" s="14"/>
      <c r="U120" s="14"/>
      <c r="W120" s="14"/>
      <c r="X120" s="14"/>
      <c r="Y120" s="14"/>
    </row>
    <row r="121">
      <c r="H121" s="14"/>
      <c r="U121" s="14"/>
      <c r="W121" s="14"/>
      <c r="X121" s="14"/>
      <c r="Y121" s="14"/>
    </row>
    <row r="122">
      <c r="H122" s="14"/>
      <c r="U122" s="14"/>
      <c r="W122" s="14"/>
      <c r="X122" s="14"/>
      <c r="Y122" s="14"/>
    </row>
    <row r="123">
      <c r="H123" s="14"/>
      <c r="U123" s="14"/>
      <c r="W123" s="14"/>
      <c r="X123" s="14"/>
      <c r="Y123" s="14"/>
    </row>
    <row r="124">
      <c r="H124" s="14"/>
      <c r="U124" s="14"/>
      <c r="W124" s="14"/>
      <c r="X124" s="14"/>
      <c r="Y124" s="14"/>
    </row>
    <row r="125">
      <c r="H125" s="14"/>
      <c r="U125" s="14"/>
      <c r="W125" s="14"/>
      <c r="X125" s="14"/>
      <c r="Y125" s="14"/>
    </row>
    <row r="126">
      <c r="H126" s="14"/>
      <c r="U126" s="14"/>
      <c r="W126" s="14"/>
      <c r="X126" s="14"/>
      <c r="Y126" s="14"/>
    </row>
    <row r="127">
      <c r="H127" s="14"/>
      <c r="U127" s="14"/>
      <c r="W127" s="14"/>
      <c r="X127" s="14"/>
      <c r="Y127" s="14"/>
    </row>
    <row r="128">
      <c r="H128" s="14"/>
      <c r="U128" s="14"/>
      <c r="W128" s="14"/>
      <c r="X128" s="14"/>
      <c r="Y128" s="14"/>
    </row>
    <row r="129">
      <c r="H129" s="14"/>
      <c r="U129" s="14"/>
      <c r="W129" s="14"/>
      <c r="X129" s="14"/>
      <c r="Y129" s="14"/>
    </row>
    <row r="130">
      <c r="H130" s="14"/>
      <c r="U130" s="14"/>
      <c r="W130" s="14"/>
      <c r="X130" s="14"/>
      <c r="Y130" s="14"/>
    </row>
    <row r="131">
      <c r="H131" s="14"/>
      <c r="U131" s="14"/>
      <c r="W131" s="14"/>
      <c r="X131" s="14"/>
      <c r="Y131" s="14"/>
    </row>
    <row r="132">
      <c r="H132" s="14"/>
      <c r="U132" s="14"/>
      <c r="W132" s="14"/>
      <c r="X132" s="14"/>
      <c r="Y132" s="14"/>
    </row>
    <row r="133">
      <c r="H133" s="14"/>
      <c r="U133" s="14"/>
      <c r="W133" s="14"/>
      <c r="X133" s="14"/>
      <c r="Y133" s="14"/>
    </row>
    <row r="134">
      <c r="H134" s="14"/>
      <c r="U134" s="14"/>
      <c r="W134" s="14"/>
      <c r="X134" s="14"/>
      <c r="Y134" s="14"/>
    </row>
    <row r="135">
      <c r="H135" s="14"/>
      <c r="U135" s="14"/>
      <c r="W135" s="14"/>
      <c r="X135" s="14"/>
      <c r="Y135" s="14"/>
    </row>
    <row r="136">
      <c r="H136" s="14"/>
      <c r="U136" s="14"/>
      <c r="W136" s="14"/>
      <c r="X136" s="14"/>
      <c r="Y136" s="14"/>
    </row>
    <row r="137">
      <c r="H137" s="14"/>
      <c r="U137" s="14"/>
      <c r="W137" s="14"/>
      <c r="X137" s="14"/>
      <c r="Y137" s="14"/>
    </row>
    <row r="138">
      <c r="H138" s="14"/>
      <c r="U138" s="14"/>
      <c r="W138" s="14"/>
      <c r="X138" s="14"/>
      <c r="Y138" s="14"/>
    </row>
    <row r="139">
      <c r="H139" s="14"/>
      <c r="U139" s="14"/>
      <c r="W139" s="14"/>
      <c r="X139" s="14"/>
      <c r="Y139" s="14"/>
    </row>
    <row r="140">
      <c r="H140" s="14"/>
      <c r="U140" s="14"/>
      <c r="W140" s="14"/>
      <c r="X140" s="14"/>
      <c r="Y140" s="14"/>
    </row>
    <row r="141">
      <c r="H141" s="14"/>
      <c r="U141" s="14"/>
      <c r="W141" s="14"/>
      <c r="X141" s="14"/>
      <c r="Y141" s="14"/>
    </row>
    <row r="142">
      <c r="H142" s="14"/>
      <c r="U142" s="14"/>
      <c r="W142" s="14"/>
      <c r="X142" s="14"/>
      <c r="Y142" s="14"/>
    </row>
    <row r="143">
      <c r="H143" s="14"/>
      <c r="U143" s="14"/>
      <c r="W143" s="14"/>
      <c r="X143" s="14"/>
      <c r="Y143" s="14"/>
    </row>
    <row r="144">
      <c r="H144" s="14"/>
      <c r="U144" s="14"/>
      <c r="W144" s="14"/>
      <c r="X144" s="14"/>
      <c r="Y144" s="14"/>
    </row>
    <row r="145">
      <c r="H145" s="14"/>
      <c r="U145" s="14"/>
      <c r="W145" s="14"/>
      <c r="X145" s="14"/>
      <c r="Y145" s="14"/>
    </row>
    <row r="146">
      <c r="H146" s="14"/>
      <c r="U146" s="14"/>
      <c r="W146" s="14"/>
      <c r="X146" s="14"/>
      <c r="Y146" s="14"/>
    </row>
    <row r="147">
      <c r="H147" s="14"/>
      <c r="U147" s="14"/>
      <c r="W147" s="14"/>
      <c r="X147" s="14"/>
      <c r="Y147" s="14"/>
    </row>
    <row r="148">
      <c r="H148" s="14"/>
      <c r="U148" s="14"/>
      <c r="W148" s="14"/>
      <c r="X148" s="14"/>
      <c r="Y148" s="14"/>
    </row>
    <row r="149">
      <c r="H149" s="14"/>
      <c r="U149" s="14"/>
      <c r="W149" s="14"/>
      <c r="X149" s="14"/>
      <c r="Y149" s="14"/>
    </row>
    <row r="150">
      <c r="H150" s="14"/>
      <c r="U150" s="14"/>
      <c r="W150" s="14"/>
      <c r="X150" s="14"/>
      <c r="Y150" s="14"/>
    </row>
    <row r="151">
      <c r="H151" s="14"/>
      <c r="U151" s="14"/>
      <c r="W151" s="14"/>
      <c r="X151" s="14"/>
      <c r="Y151" s="14"/>
    </row>
    <row r="152">
      <c r="H152" s="14"/>
      <c r="U152" s="14"/>
      <c r="W152" s="14"/>
      <c r="X152" s="14"/>
      <c r="Y152" s="14"/>
    </row>
    <row r="153">
      <c r="H153" s="14"/>
      <c r="U153" s="14"/>
      <c r="W153" s="14"/>
      <c r="X153" s="14"/>
      <c r="Y153" s="14"/>
    </row>
    <row r="154">
      <c r="H154" s="14"/>
      <c r="U154" s="14"/>
      <c r="W154" s="14"/>
      <c r="X154" s="14"/>
      <c r="Y154" s="14"/>
    </row>
    <row r="155">
      <c r="H155" s="14"/>
      <c r="U155" s="14"/>
      <c r="W155" s="14"/>
      <c r="X155" s="14"/>
      <c r="Y155" s="14"/>
    </row>
    <row r="156">
      <c r="H156" s="14"/>
      <c r="U156" s="14"/>
      <c r="W156" s="14"/>
      <c r="X156" s="14"/>
      <c r="Y156" s="14"/>
    </row>
    <row r="157">
      <c r="H157" s="14"/>
      <c r="U157" s="14"/>
      <c r="W157" s="14"/>
      <c r="X157" s="14"/>
      <c r="Y157" s="14"/>
    </row>
    <row r="158">
      <c r="H158" s="14"/>
      <c r="U158" s="14"/>
      <c r="W158" s="14"/>
      <c r="X158" s="14"/>
      <c r="Y158" s="14"/>
    </row>
    <row r="159">
      <c r="H159" s="14"/>
      <c r="U159" s="14"/>
      <c r="W159" s="14"/>
      <c r="X159" s="14"/>
      <c r="Y159" s="14"/>
    </row>
    <row r="160">
      <c r="H160" s="14"/>
      <c r="U160" s="14"/>
      <c r="W160" s="14"/>
      <c r="X160" s="14"/>
      <c r="Y160" s="14"/>
    </row>
    <row r="161">
      <c r="H161" s="14"/>
      <c r="U161" s="14"/>
      <c r="W161" s="14"/>
      <c r="X161" s="14"/>
      <c r="Y161" s="14"/>
    </row>
    <row r="162">
      <c r="H162" s="14"/>
      <c r="U162" s="14"/>
      <c r="W162" s="14"/>
      <c r="X162" s="14"/>
      <c r="Y162" s="14"/>
    </row>
    <row r="163">
      <c r="H163" s="14"/>
      <c r="U163" s="14"/>
      <c r="W163" s="14"/>
      <c r="X163" s="14"/>
      <c r="Y163" s="14"/>
    </row>
    <row r="164">
      <c r="H164" s="14"/>
      <c r="U164" s="14"/>
      <c r="W164" s="14"/>
      <c r="X164" s="14"/>
      <c r="Y164" s="14"/>
    </row>
    <row r="165">
      <c r="H165" s="14"/>
      <c r="U165" s="14"/>
      <c r="W165" s="14"/>
      <c r="X165" s="14"/>
      <c r="Y165" s="14"/>
    </row>
    <row r="166">
      <c r="H166" s="14"/>
      <c r="U166" s="14"/>
      <c r="W166" s="14"/>
      <c r="X166" s="14"/>
      <c r="Y166" s="14"/>
    </row>
    <row r="167">
      <c r="H167" s="14"/>
      <c r="U167" s="14"/>
      <c r="W167" s="14"/>
      <c r="X167" s="14"/>
      <c r="Y167" s="14"/>
    </row>
    <row r="168">
      <c r="H168" s="14"/>
      <c r="U168" s="14"/>
      <c r="W168" s="14"/>
      <c r="X168" s="14"/>
      <c r="Y168" s="14"/>
    </row>
    <row r="169">
      <c r="H169" s="14"/>
      <c r="U169" s="14"/>
      <c r="W169" s="14"/>
      <c r="X169" s="14"/>
      <c r="Y169" s="14"/>
    </row>
    <row r="170">
      <c r="H170" s="14"/>
      <c r="U170" s="14"/>
      <c r="W170" s="14"/>
      <c r="X170" s="14"/>
      <c r="Y170" s="14"/>
    </row>
    <row r="171">
      <c r="H171" s="14"/>
      <c r="U171" s="14"/>
      <c r="W171" s="14"/>
      <c r="X171" s="14"/>
      <c r="Y171" s="14"/>
    </row>
    <row r="172">
      <c r="H172" s="14"/>
      <c r="U172" s="14"/>
      <c r="W172" s="14"/>
      <c r="X172" s="14"/>
      <c r="Y172" s="14"/>
    </row>
    <row r="173">
      <c r="H173" s="14"/>
      <c r="U173" s="14"/>
      <c r="W173" s="14"/>
      <c r="X173" s="14"/>
      <c r="Y173" s="14"/>
    </row>
    <row r="174">
      <c r="H174" s="14"/>
      <c r="U174" s="14"/>
      <c r="W174" s="14"/>
      <c r="X174" s="14"/>
      <c r="Y174" s="14"/>
    </row>
    <row r="175">
      <c r="H175" s="14"/>
      <c r="U175" s="14"/>
      <c r="W175" s="14"/>
      <c r="X175" s="14"/>
      <c r="Y175" s="14"/>
    </row>
    <row r="176">
      <c r="H176" s="14"/>
      <c r="U176" s="14"/>
      <c r="W176" s="14"/>
      <c r="X176" s="14"/>
      <c r="Y176" s="14"/>
    </row>
    <row r="177">
      <c r="H177" s="14"/>
      <c r="U177" s="14"/>
      <c r="W177" s="14"/>
      <c r="X177" s="14"/>
      <c r="Y177" s="14"/>
    </row>
    <row r="178">
      <c r="H178" s="14"/>
      <c r="U178" s="14"/>
      <c r="W178" s="14"/>
      <c r="X178" s="14"/>
      <c r="Y178" s="14"/>
    </row>
    <row r="179">
      <c r="H179" s="14"/>
      <c r="U179" s="14"/>
      <c r="W179" s="14"/>
      <c r="X179" s="14"/>
      <c r="Y179" s="14"/>
    </row>
    <row r="180">
      <c r="H180" s="14"/>
      <c r="U180" s="14"/>
      <c r="W180" s="14"/>
      <c r="X180" s="14"/>
      <c r="Y180" s="14"/>
    </row>
    <row r="181">
      <c r="H181" s="14"/>
      <c r="U181" s="14"/>
      <c r="W181" s="14"/>
      <c r="X181" s="14"/>
      <c r="Y181" s="14"/>
    </row>
    <row r="182">
      <c r="H182" s="14"/>
      <c r="U182" s="14"/>
      <c r="W182" s="14"/>
      <c r="X182" s="14"/>
      <c r="Y182" s="14"/>
    </row>
    <row r="183">
      <c r="H183" s="14"/>
      <c r="U183" s="14"/>
      <c r="W183" s="14"/>
      <c r="X183" s="14"/>
      <c r="Y183" s="14"/>
    </row>
    <row r="184">
      <c r="H184" s="14"/>
      <c r="U184" s="14"/>
      <c r="W184" s="14"/>
      <c r="X184" s="14"/>
      <c r="Y184" s="14"/>
    </row>
    <row r="185">
      <c r="H185" s="14"/>
      <c r="U185" s="14"/>
      <c r="W185" s="14"/>
      <c r="X185" s="14"/>
      <c r="Y185" s="14"/>
    </row>
    <row r="186">
      <c r="H186" s="14"/>
      <c r="U186" s="14"/>
      <c r="W186" s="14"/>
      <c r="X186" s="14"/>
      <c r="Y186" s="14"/>
    </row>
    <row r="187">
      <c r="H187" s="14"/>
      <c r="U187" s="14"/>
      <c r="W187" s="14"/>
      <c r="X187" s="14"/>
      <c r="Y187" s="14"/>
    </row>
    <row r="188">
      <c r="H188" s="14"/>
      <c r="U188" s="14"/>
      <c r="W188" s="14"/>
      <c r="X188" s="14"/>
      <c r="Y188" s="14"/>
    </row>
    <row r="189">
      <c r="H189" s="14"/>
      <c r="U189" s="14"/>
      <c r="W189" s="14"/>
      <c r="X189" s="14"/>
      <c r="Y189" s="14"/>
    </row>
    <row r="190">
      <c r="H190" s="14"/>
      <c r="U190" s="14"/>
      <c r="W190" s="14"/>
      <c r="X190" s="14"/>
      <c r="Y190" s="14"/>
    </row>
    <row r="191">
      <c r="H191" s="14"/>
      <c r="U191" s="14"/>
      <c r="W191" s="14"/>
      <c r="X191" s="14"/>
      <c r="Y191" s="14"/>
    </row>
    <row r="192">
      <c r="H192" s="14"/>
      <c r="U192" s="14"/>
      <c r="W192" s="14"/>
      <c r="X192" s="14"/>
      <c r="Y192" s="14"/>
    </row>
    <row r="193">
      <c r="H193" s="14"/>
      <c r="U193" s="14"/>
      <c r="W193" s="14"/>
      <c r="X193" s="14"/>
      <c r="Y193" s="14"/>
    </row>
    <row r="194">
      <c r="H194" s="14"/>
      <c r="U194" s="14"/>
      <c r="W194" s="14"/>
      <c r="X194" s="14"/>
      <c r="Y194" s="14"/>
    </row>
    <row r="195">
      <c r="H195" s="14"/>
      <c r="U195" s="14"/>
      <c r="W195" s="14"/>
      <c r="X195" s="14"/>
      <c r="Y195" s="14"/>
    </row>
    <row r="196">
      <c r="H196" s="14"/>
      <c r="U196" s="14"/>
      <c r="W196" s="14"/>
      <c r="X196" s="14"/>
      <c r="Y196" s="14"/>
    </row>
    <row r="197">
      <c r="H197" s="14"/>
      <c r="U197" s="14"/>
      <c r="W197" s="14"/>
      <c r="X197" s="14"/>
      <c r="Y197" s="14"/>
    </row>
    <row r="198">
      <c r="H198" s="14"/>
      <c r="U198" s="14"/>
      <c r="W198" s="14"/>
      <c r="X198" s="14"/>
      <c r="Y198" s="14"/>
    </row>
    <row r="199">
      <c r="H199" s="14"/>
      <c r="U199" s="14"/>
      <c r="W199" s="14"/>
      <c r="X199" s="14"/>
      <c r="Y199" s="14"/>
    </row>
    <row r="200">
      <c r="H200" s="14"/>
      <c r="U200" s="14"/>
      <c r="W200" s="14"/>
      <c r="X200" s="14"/>
      <c r="Y200" s="14"/>
    </row>
    <row r="201">
      <c r="H201" s="14"/>
      <c r="U201" s="14"/>
      <c r="W201" s="14"/>
      <c r="X201" s="14"/>
      <c r="Y201" s="14"/>
    </row>
    <row r="202">
      <c r="H202" s="14"/>
      <c r="U202" s="14"/>
      <c r="W202" s="14"/>
      <c r="X202" s="14"/>
      <c r="Y202" s="14"/>
    </row>
    <row r="203">
      <c r="H203" s="14"/>
      <c r="U203" s="14"/>
      <c r="W203" s="14"/>
      <c r="X203" s="14"/>
      <c r="Y203" s="14"/>
    </row>
    <row r="204">
      <c r="H204" s="14"/>
      <c r="U204" s="14"/>
      <c r="W204" s="14"/>
      <c r="X204" s="14"/>
      <c r="Y204" s="14"/>
    </row>
    <row r="205">
      <c r="H205" s="14"/>
      <c r="U205" s="14"/>
      <c r="W205" s="14"/>
      <c r="X205" s="14"/>
      <c r="Y205" s="14"/>
    </row>
    <row r="206">
      <c r="H206" s="14"/>
      <c r="U206" s="14"/>
      <c r="W206" s="14"/>
      <c r="X206" s="14"/>
      <c r="Y206" s="14"/>
    </row>
    <row r="207">
      <c r="H207" s="14"/>
      <c r="U207" s="14"/>
      <c r="W207" s="14"/>
      <c r="X207" s="14"/>
      <c r="Y207" s="14"/>
    </row>
    <row r="208">
      <c r="H208" s="14"/>
      <c r="U208" s="14"/>
      <c r="W208" s="14"/>
      <c r="X208" s="14"/>
      <c r="Y208" s="14"/>
    </row>
    <row r="209">
      <c r="H209" s="14"/>
      <c r="U209" s="14"/>
      <c r="W209" s="14"/>
      <c r="X209" s="14"/>
      <c r="Y209" s="14"/>
    </row>
    <row r="210">
      <c r="H210" s="14"/>
      <c r="U210" s="14"/>
      <c r="W210" s="14"/>
      <c r="X210" s="14"/>
      <c r="Y210" s="14"/>
    </row>
    <row r="211">
      <c r="H211" s="14"/>
      <c r="U211" s="14"/>
      <c r="W211" s="14"/>
      <c r="X211" s="14"/>
      <c r="Y211" s="14"/>
    </row>
    <row r="212">
      <c r="H212" s="14"/>
      <c r="U212" s="14"/>
      <c r="W212" s="14"/>
      <c r="X212" s="14"/>
      <c r="Y212" s="14"/>
    </row>
    <row r="213">
      <c r="H213" s="14"/>
      <c r="U213" s="14"/>
      <c r="W213" s="14"/>
      <c r="X213" s="14"/>
      <c r="Y213" s="14"/>
    </row>
    <row r="214">
      <c r="H214" s="14"/>
      <c r="U214" s="14"/>
      <c r="W214" s="14"/>
      <c r="X214" s="14"/>
      <c r="Y214" s="14"/>
    </row>
    <row r="215">
      <c r="H215" s="14"/>
      <c r="U215" s="14"/>
      <c r="W215" s="14"/>
      <c r="X215" s="14"/>
      <c r="Y215" s="14"/>
    </row>
    <row r="216">
      <c r="H216" s="14"/>
      <c r="U216" s="14"/>
      <c r="W216" s="14"/>
      <c r="X216" s="14"/>
      <c r="Y216" s="14"/>
    </row>
    <row r="217">
      <c r="H217" s="14"/>
      <c r="U217" s="14"/>
      <c r="W217" s="14"/>
      <c r="X217" s="14"/>
      <c r="Y217" s="14"/>
    </row>
    <row r="218">
      <c r="H218" s="14"/>
      <c r="U218" s="14"/>
      <c r="W218" s="14"/>
      <c r="X218" s="14"/>
      <c r="Y218" s="14"/>
    </row>
    <row r="219">
      <c r="H219" s="14"/>
      <c r="U219" s="14"/>
      <c r="W219" s="14"/>
      <c r="X219" s="14"/>
      <c r="Y219" s="14"/>
    </row>
    <row r="220">
      <c r="H220" s="14"/>
      <c r="U220" s="14"/>
      <c r="W220" s="14"/>
      <c r="X220" s="14"/>
      <c r="Y220" s="14"/>
    </row>
    <row r="221">
      <c r="H221" s="14"/>
      <c r="U221" s="14"/>
      <c r="W221" s="14"/>
      <c r="X221" s="14"/>
      <c r="Y221" s="14"/>
    </row>
    <row r="222">
      <c r="H222" s="14"/>
      <c r="U222" s="14"/>
      <c r="W222" s="14"/>
      <c r="X222" s="14"/>
      <c r="Y222" s="14"/>
    </row>
    <row r="223">
      <c r="H223" s="14"/>
      <c r="U223" s="14"/>
      <c r="W223" s="14"/>
      <c r="X223" s="14"/>
      <c r="Y223" s="14"/>
    </row>
    <row r="224">
      <c r="H224" s="14"/>
      <c r="U224" s="14"/>
      <c r="W224" s="14"/>
      <c r="X224" s="14"/>
      <c r="Y224" s="14"/>
    </row>
    <row r="225">
      <c r="H225" s="14"/>
      <c r="U225" s="14"/>
      <c r="W225" s="14"/>
      <c r="X225" s="14"/>
      <c r="Y225" s="14"/>
    </row>
    <row r="226">
      <c r="H226" s="14"/>
      <c r="U226" s="14"/>
      <c r="W226" s="14"/>
      <c r="X226" s="14"/>
      <c r="Y226" s="14"/>
    </row>
    <row r="227">
      <c r="H227" s="14"/>
      <c r="U227" s="14"/>
      <c r="W227" s="14"/>
      <c r="X227" s="14"/>
      <c r="Y227" s="14"/>
    </row>
    <row r="228">
      <c r="H228" s="14"/>
      <c r="U228" s="14"/>
      <c r="W228" s="14"/>
      <c r="X228" s="14"/>
      <c r="Y228" s="14"/>
    </row>
    <row r="229">
      <c r="H229" s="14"/>
      <c r="U229" s="14"/>
      <c r="W229" s="14"/>
      <c r="X229" s="14"/>
      <c r="Y229" s="14"/>
    </row>
    <row r="230">
      <c r="H230" s="14"/>
      <c r="U230" s="14"/>
      <c r="W230" s="14"/>
      <c r="X230" s="14"/>
      <c r="Y230" s="14"/>
    </row>
    <row r="231">
      <c r="H231" s="14"/>
      <c r="U231" s="14"/>
      <c r="W231" s="14"/>
      <c r="X231" s="14"/>
      <c r="Y231" s="14"/>
    </row>
    <row r="232">
      <c r="H232" s="14"/>
      <c r="U232" s="14"/>
      <c r="W232" s="14"/>
      <c r="X232" s="14"/>
      <c r="Y232" s="14"/>
    </row>
    <row r="233">
      <c r="H233" s="14"/>
      <c r="U233" s="14"/>
      <c r="W233" s="14"/>
      <c r="X233" s="14"/>
      <c r="Y233" s="14"/>
    </row>
    <row r="234">
      <c r="H234" s="14"/>
      <c r="U234" s="14"/>
      <c r="W234" s="14"/>
      <c r="X234" s="14"/>
      <c r="Y234" s="14"/>
    </row>
    <row r="235">
      <c r="H235" s="14"/>
      <c r="U235" s="14"/>
      <c r="W235" s="14"/>
      <c r="X235" s="14"/>
      <c r="Y235" s="14"/>
    </row>
    <row r="236">
      <c r="H236" s="14"/>
      <c r="U236" s="14"/>
      <c r="W236" s="14"/>
      <c r="X236" s="14"/>
      <c r="Y236" s="14"/>
    </row>
    <row r="237">
      <c r="H237" s="14"/>
      <c r="U237" s="14"/>
      <c r="W237" s="14"/>
      <c r="X237" s="14"/>
      <c r="Y237" s="14"/>
    </row>
    <row r="238">
      <c r="H238" s="14"/>
      <c r="U238" s="14"/>
      <c r="W238" s="14"/>
      <c r="X238" s="14"/>
      <c r="Y238" s="14"/>
    </row>
    <row r="239">
      <c r="H239" s="14"/>
      <c r="U239" s="14"/>
      <c r="W239" s="14"/>
      <c r="X239" s="14"/>
      <c r="Y239" s="14"/>
    </row>
    <row r="240">
      <c r="H240" s="14"/>
      <c r="U240" s="14"/>
      <c r="W240" s="14"/>
      <c r="X240" s="14"/>
      <c r="Y240" s="14"/>
    </row>
    <row r="241">
      <c r="H241" s="14"/>
      <c r="U241" s="14"/>
      <c r="W241" s="14"/>
      <c r="X241" s="14"/>
      <c r="Y241" s="14"/>
    </row>
    <row r="242">
      <c r="H242" s="14"/>
      <c r="U242" s="14"/>
      <c r="W242" s="14"/>
      <c r="X242" s="14"/>
      <c r="Y242" s="14"/>
    </row>
    <row r="243">
      <c r="H243" s="14"/>
      <c r="U243" s="14"/>
      <c r="W243" s="14"/>
      <c r="X243" s="14"/>
      <c r="Y243" s="14"/>
    </row>
    <row r="244">
      <c r="H244" s="14"/>
      <c r="U244" s="14"/>
      <c r="W244" s="14"/>
      <c r="X244" s="14"/>
      <c r="Y244" s="14"/>
    </row>
    <row r="245">
      <c r="H245" s="14"/>
      <c r="U245" s="14"/>
      <c r="W245" s="14"/>
      <c r="X245" s="14"/>
      <c r="Y245" s="14"/>
    </row>
    <row r="246">
      <c r="H246" s="14"/>
      <c r="U246" s="14"/>
      <c r="W246" s="14"/>
      <c r="X246" s="14"/>
      <c r="Y246" s="14"/>
    </row>
    <row r="247">
      <c r="H247" s="14"/>
      <c r="U247" s="14"/>
      <c r="W247" s="14"/>
      <c r="X247" s="14"/>
      <c r="Y247" s="14"/>
    </row>
    <row r="248">
      <c r="H248" s="14"/>
      <c r="U248" s="14"/>
      <c r="W248" s="14"/>
      <c r="X248" s="14"/>
      <c r="Y248" s="14"/>
    </row>
    <row r="249">
      <c r="H249" s="14"/>
      <c r="U249" s="14"/>
      <c r="W249" s="14"/>
      <c r="X249" s="14"/>
      <c r="Y249" s="14"/>
    </row>
    <row r="250">
      <c r="H250" s="14"/>
      <c r="U250" s="14"/>
      <c r="W250" s="14"/>
      <c r="X250" s="14"/>
      <c r="Y250" s="14"/>
    </row>
    <row r="251">
      <c r="H251" s="14"/>
      <c r="U251" s="14"/>
      <c r="W251" s="14"/>
      <c r="X251" s="14"/>
      <c r="Y251" s="14"/>
    </row>
    <row r="252">
      <c r="H252" s="14"/>
      <c r="U252" s="14"/>
      <c r="W252" s="14"/>
      <c r="X252" s="14"/>
      <c r="Y252" s="14"/>
    </row>
    <row r="253">
      <c r="H253" s="14"/>
      <c r="U253" s="14"/>
      <c r="W253" s="14"/>
      <c r="X253" s="14"/>
      <c r="Y253" s="14"/>
    </row>
    <row r="254">
      <c r="H254" s="14"/>
      <c r="U254" s="14"/>
      <c r="W254" s="14"/>
      <c r="X254" s="14"/>
      <c r="Y254" s="14"/>
    </row>
    <row r="255">
      <c r="H255" s="14"/>
      <c r="U255" s="14"/>
      <c r="W255" s="14"/>
      <c r="X255" s="14"/>
      <c r="Y255" s="14"/>
    </row>
    <row r="256">
      <c r="H256" s="14"/>
      <c r="U256" s="14"/>
      <c r="W256" s="14"/>
      <c r="X256" s="14"/>
      <c r="Y256" s="14"/>
    </row>
    <row r="257">
      <c r="H257" s="14"/>
      <c r="U257" s="14"/>
      <c r="W257" s="14"/>
      <c r="X257" s="14"/>
      <c r="Y257" s="14"/>
    </row>
    <row r="258">
      <c r="H258" s="14"/>
      <c r="U258" s="14"/>
      <c r="W258" s="14"/>
      <c r="X258" s="14"/>
      <c r="Y258" s="14"/>
    </row>
    <row r="259">
      <c r="H259" s="14"/>
      <c r="U259" s="14"/>
      <c r="W259" s="14"/>
      <c r="X259" s="14"/>
      <c r="Y259" s="14"/>
    </row>
    <row r="260">
      <c r="H260" s="14"/>
      <c r="U260" s="14"/>
      <c r="W260" s="14"/>
      <c r="X260" s="14"/>
      <c r="Y260" s="14"/>
    </row>
    <row r="261">
      <c r="H261" s="14"/>
      <c r="U261" s="14"/>
      <c r="W261" s="14"/>
      <c r="X261" s="14"/>
      <c r="Y261" s="14"/>
    </row>
    <row r="262">
      <c r="H262" s="14"/>
      <c r="U262" s="14"/>
      <c r="W262" s="14"/>
      <c r="X262" s="14"/>
      <c r="Y262" s="14"/>
    </row>
    <row r="263">
      <c r="H263" s="14"/>
      <c r="U263" s="14"/>
      <c r="W263" s="14"/>
      <c r="X263" s="14"/>
      <c r="Y263" s="14"/>
    </row>
    <row r="264">
      <c r="H264" s="14"/>
      <c r="U264" s="14"/>
      <c r="W264" s="14"/>
      <c r="X264" s="14"/>
      <c r="Y264" s="14"/>
    </row>
    <row r="265">
      <c r="H265" s="14"/>
      <c r="U265" s="14"/>
      <c r="W265" s="14"/>
      <c r="X265" s="14"/>
      <c r="Y265" s="14"/>
    </row>
    <row r="266">
      <c r="H266" s="14"/>
      <c r="U266" s="14"/>
      <c r="W266" s="14"/>
      <c r="X266" s="14"/>
      <c r="Y266" s="14"/>
    </row>
    <row r="267">
      <c r="H267" s="14"/>
      <c r="U267" s="14"/>
      <c r="W267" s="14"/>
      <c r="X267" s="14"/>
      <c r="Y267" s="14"/>
    </row>
    <row r="268">
      <c r="H268" s="14"/>
      <c r="U268" s="14"/>
      <c r="W268" s="14"/>
      <c r="X268" s="14"/>
      <c r="Y268" s="14"/>
    </row>
    <row r="269">
      <c r="H269" s="14"/>
      <c r="U269" s="14"/>
      <c r="W269" s="14"/>
      <c r="X269" s="14"/>
      <c r="Y269" s="14"/>
    </row>
    <row r="270">
      <c r="H270" s="14"/>
      <c r="U270" s="14"/>
      <c r="W270" s="14"/>
      <c r="X270" s="14"/>
      <c r="Y270" s="14"/>
    </row>
    <row r="271">
      <c r="H271" s="14"/>
      <c r="U271" s="14"/>
      <c r="W271" s="14"/>
      <c r="X271" s="14"/>
      <c r="Y271" s="14"/>
    </row>
    <row r="272">
      <c r="H272" s="14"/>
      <c r="U272" s="14"/>
      <c r="W272" s="14"/>
      <c r="X272" s="14"/>
      <c r="Y272" s="14"/>
    </row>
    <row r="273">
      <c r="H273" s="14"/>
      <c r="U273" s="14"/>
      <c r="W273" s="14"/>
      <c r="X273" s="14"/>
      <c r="Y273" s="14"/>
    </row>
    <row r="274">
      <c r="H274" s="14"/>
      <c r="U274" s="14"/>
      <c r="W274" s="14"/>
      <c r="X274" s="14"/>
      <c r="Y274" s="14"/>
    </row>
    <row r="275">
      <c r="H275" s="14"/>
      <c r="U275" s="14"/>
      <c r="W275" s="14"/>
      <c r="X275" s="14"/>
      <c r="Y275" s="14"/>
    </row>
    <row r="276">
      <c r="H276" s="14"/>
      <c r="U276" s="14"/>
      <c r="W276" s="14"/>
      <c r="X276" s="14"/>
      <c r="Y276" s="14"/>
    </row>
    <row r="277">
      <c r="H277" s="14"/>
      <c r="U277" s="14"/>
      <c r="W277" s="14"/>
      <c r="X277" s="14"/>
      <c r="Y277" s="14"/>
    </row>
    <row r="278">
      <c r="H278" s="14"/>
      <c r="U278" s="14"/>
      <c r="W278" s="14"/>
      <c r="X278" s="14"/>
      <c r="Y278" s="14"/>
    </row>
    <row r="279">
      <c r="H279" s="14"/>
      <c r="U279" s="14"/>
      <c r="W279" s="14"/>
      <c r="X279" s="14"/>
      <c r="Y279" s="14"/>
    </row>
    <row r="280">
      <c r="H280" s="14"/>
      <c r="U280" s="14"/>
      <c r="W280" s="14"/>
      <c r="X280" s="14"/>
      <c r="Y280" s="14"/>
    </row>
    <row r="281">
      <c r="H281" s="14"/>
      <c r="U281" s="14"/>
      <c r="W281" s="14"/>
      <c r="X281" s="14"/>
      <c r="Y281" s="14"/>
    </row>
    <row r="282">
      <c r="H282" s="14"/>
      <c r="U282" s="14"/>
      <c r="W282" s="14"/>
      <c r="X282" s="14"/>
      <c r="Y282" s="14"/>
    </row>
    <row r="283">
      <c r="H283" s="14"/>
      <c r="U283" s="14"/>
      <c r="W283" s="14"/>
      <c r="X283" s="14"/>
      <c r="Y283" s="14"/>
    </row>
    <row r="284">
      <c r="H284" s="14"/>
      <c r="U284" s="14"/>
      <c r="W284" s="14"/>
      <c r="X284" s="14"/>
      <c r="Y284" s="14"/>
    </row>
    <row r="285">
      <c r="H285" s="14"/>
      <c r="U285" s="14"/>
      <c r="W285" s="14"/>
      <c r="X285" s="14"/>
      <c r="Y285" s="14"/>
    </row>
    <row r="286">
      <c r="H286" s="14"/>
      <c r="U286" s="14"/>
      <c r="W286" s="14"/>
      <c r="X286" s="14"/>
      <c r="Y286" s="14"/>
    </row>
    <row r="287">
      <c r="H287" s="14"/>
      <c r="U287" s="14"/>
      <c r="W287" s="14"/>
      <c r="X287" s="14"/>
      <c r="Y287" s="14"/>
    </row>
    <row r="288">
      <c r="H288" s="14"/>
      <c r="U288" s="14"/>
      <c r="W288" s="14"/>
      <c r="X288" s="14"/>
      <c r="Y288" s="14"/>
    </row>
    <row r="289">
      <c r="H289" s="14"/>
      <c r="U289" s="14"/>
      <c r="W289" s="14"/>
      <c r="X289" s="14"/>
      <c r="Y289" s="14"/>
    </row>
    <row r="290">
      <c r="H290" s="14"/>
      <c r="U290" s="14"/>
      <c r="W290" s="14"/>
      <c r="X290" s="14"/>
      <c r="Y290" s="14"/>
    </row>
    <row r="291">
      <c r="H291" s="14"/>
      <c r="U291" s="14"/>
      <c r="W291" s="14"/>
      <c r="X291" s="14"/>
      <c r="Y291" s="14"/>
    </row>
    <row r="292">
      <c r="H292" s="14"/>
      <c r="U292" s="14"/>
      <c r="W292" s="14"/>
      <c r="X292" s="14"/>
      <c r="Y292" s="14"/>
    </row>
    <row r="293">
      <c r="H293" s="14"/>
      <c r="U293" s="14"/>
      <c r="W293" s="14"/>
      <c r="X293" s="14"/>
      <c r="Y293" s="14"/>
    </row>
    <row r="294">
      <c r="H294" s="14"/>
      <c r="U294" s="14"/>
      <c r="W294" s="14"/>
      <c r="X294" s="14"/>
      <c r="Y294" s="14"/>
    </row>
    <row r="295">
      <c r="H295" s="14"/>
      <c r="U295" s="14"/>
      <c r="W295" s="14"/>
      <c r="X295" s="14"/>
      <c r="Y295" s="14"/>
    </row>
    <row r="296">
      <c r="H296" s="14"/>
      <c r="U296" s="14"/>
      <c r="W296" s="14"/>
      <c r="X296" s="14"/>
      <c r="Y296" s="14"/>
    </row>
    <row r="297">
      <c r="H297" s="14"/>
      <c r="U297" s="14"/>
      <c r="W297" s="14"/>
      <c r="X297" s="14"/>
      <c r="Y297" s="14"/>
    </row>
    <row r="298">
      <c r="H298" s="14"/>
      <c r="U298" s="14"/>
      <c r="W298" s="14"/>
      <c r="X298" s="14"/>
      <c r="Y298" s="14"/>
    </row>
    <row r="299">
      <c r="H299" s="14"/>
      <c r="U299" s="14"/>
      <c r="W299" s="14"/>
      <c r="X299" s="14"/>
      <c r="Y299" s="14"/>
    </row>
    <row r="300">
      <c r="H300" s="14"/>
      <c r="U300" s="14"/>
      <c r="W300" s="14"/>
      <c r="X300" s="14"/>
      <c r="Y300" s="14"/>
    </row>
    <row r="301">
      <c r="H301" s="14"/>
      <c r="U301" s="14"/>
      <c r="W301" s="14"/>
      <c r="X301" s="14"/>
      <c r="Y301" s="14"/>
    </row>
    <row r="302">
      <c r="H302" s="14"/>
      <c r="U302" s="14"/>
      <c r="W302" s="14"/>
      <c r="X302" s="14"/>
      <c r="Y302" s="14"/>
    </row>
    <row r="303">
      <c r="H303" s="14"/>
      <c r="U303" s="14"/>
      <c r="W303" s="14"/>
      <c r="X303" s="14"/>
      <c r="Y303" s="14"/>
    </row>
    <row r="304">
      <c r="H304" s="14"/>
      <c r="U304" s="14"/>
      <c r="W304" s="14"/>
      <c r="X304" s="14"/>
      <c r="Y304" s="14"/>
    </row>
    <row r="305">
      <c r="H305" s="14"/>
      <c r="U305" s="14"/>
      <c r="W305" s="14"/>
      <c r="X305" s="14"/>
      <c r="Y305" s="14"/>
    </row>
    <row r="306">
      <c r="H306" s="14"/>
      <c r="U306" s="14"/>
      <c r="W306" s="14"/>
      <c r="X306" s="14"/>
      <c r="Y306" s="14"/>
    </row>
    <row r="307">
      <c r="H307" s="14"/>
      <c r="U307" s="14"/>
      <c r="W307" s="14"/>
      <c r="X307" s="14"/>
      <c r="Y307" s="14"/>
    </row>
    <row r="308">
      <c r="H308" s="14"/>
      <c r="U308" s="14"/>
      <c r="W308" s="14"/>
      <c r="X308" s="14"/>
      <c r="Y308" s="14"/>
    </row>
    <row r="309">
      <c r="H309" s="14"/>
      <c r="U309" s="14"/>
      <c r="W309" s="14"/>
      <c r="X309" s="14"/>
      <c r="Y309" s="14"/>
    </row>
    <row r="310">
      <c r="H310" s="14"/>
      <c r="U310" s="14"/>
      <c r="W310" s="14"/>
      <c r="X310" s="14"/>
      <c r="Y310" s="14"/>
    </row>
    <row r="311">
      <c r="H311" s="14"/>
      <c r="U311" s="14"/>
      <c r="W311" s="14"/>
      <c r="X311" s="14"/>
      <c r="Y311" s="14"/>
    </row>
    <row r="312">
      <c r="H312" s="14"/>
      <c r="U312" s="14"/>
      <c r="W312" s="14"/>
      <c r="X312" s="14"/>
      <c r="Y312" s="14"/>
    </row>
    <row r="313">
      <c r="H313" s="14"/>
      <c r="U313" s="14"/>
      <c r="W313" s="14"/>
      <c r="X313" s="14"/>
      <c r="Y313" s="14"/>
    </row>
    <row r="314">
      <c r="H314" s="14"/>
      <c r="U314" s="14"/>
      <c r="W314" s="14"/>
      <c r="X314" s="14"/>
      <c r="Y314" s="14"/>
    </row>
    <row r="315">
      <c r="H315" s="14"/>
      <c r="U315" s="14"/>
      <c r="W315" s="14"/>
      <c r="X315" s="14"/>
      <c r="Y315" s="14"/>
    </row>
    <row r="316">
      <c r="H316" s="14"/>
      <c r="U316" s="14"/>
      <c r="W316" s="14"/>
      <c r="X316" s="14"/>
      <c r="Y316" s="14"/>
    </row>
    <row r="317">
      <c r="H317" s="14"/>
      <c r="U317" s="14"/>
      <c r="W317" s="14"/>
      <c r="X317" s="14"/>
      <c r="Y317" s="14"/>
    </row>
    <row r="318">
      <c r="H318" s="14"/>
      <c r="U318" s="14"/>
      <c r="W318" s="14"/>
      <c r="X318" s="14"/>
      <c r="Y318" s="14"/>
    </row>
    <row r="319">
      <c r="H319" s="14"/>
      <c r="U319" s="14"/>
      <c r="W319" s="14"/>
      <c r="X319" s="14"/>
      <c r="Y319" s="14"/>
    </row>
    <row r="320">
      <c r="H320" s="14"/>
      <c r="U320" s="14"/>
      <c r="W320" s="14"/>
      <c r="X320" s="14"/>
      <c r="Y320" s="14"/>
    </row>
    <row r="321">
      <c r="H321" s="14"/>
      <c r="U321" s="14"/>
      <c r="W321" s="14"/>
      <c r="X321" s="14"/>
      <c r="Y321" s="14"/>
    </row>
    <row r="322">
      <c r="H322" s="14"/>
      <c r="U322" s="14"/>
      <c r="W322" s="14"/>
      <c r="X322" s="14"/>
      <c r="Y322" s="14"/>
    </row>
    <row r="323">
      <c r="H323" s="14"/>
      <c r="U323" s="14"/>
      <c r="W323" s="14"/>
      <c r="X323" s="14"/>
      <c r="Y323" s="14"/>
    </row>
    <row r="324">
      <c r="H324" s="14"/>
      <c r="U324" s="14"/>
      <c r="W324" s="14"/>
      <c r="X324" s="14"/>
      <c r="Y324" s="14"/>
    </row>
    <row r="325">
      <c r="H325" s="14"/>
      <c r="U325" s="14"/>
      <c r="W325" s="14"/>
      <c r="X325" s="14"/>
      <c r="Y325" s="14"/>
    </row>
    <row r="326">
      <c r="H326" s="14"/>
      <c r="U326" s="14"/>
      <c r="W326" s="14"/>
      <c r="X326" s="14"/>
      <c r="Y326" s="14"/>
    </row>
    <row r="327">
      <c r="H327" s="14"/>
      <c r="U327" s="14"/>
      <c r="W327" s="14"/>
      <c r="X327" s="14"/>
      <c r="Y327" s="14"/>
    </row>
    <row r="328">
      <c r="H328" s="14"/>
      <c r="U328" s="14"/>
      <c r="W328" s="14"/>
      <c r="X328" s="14"/>
      <c r="Y328" s="14"/>
    </row>
    <row r="329">
      <c r="H329" s="14"/>
      <c r="U329" s="14"/>
      <c r="W329" s="14"/>
      <c r="X329" s="14"/>
      <c r="Y329" s="14"/>
    </row>
    <row r="330">
      <c r="H330" s="14"/>
      <c r="U330" s="14"/>
      <c r="W330" s="14"/>
      <c r="X330" s="14"/>
      <c r="Y330" s="14"/>
    </row>
    <row r="331">
      <c r="H331" s="14"/>
      <c r="U331" s="14"/>
      <c r="W331" s="14"/>
      <c r="X331" s="14"/>
      <c r="Y331" s="14"/>
    </row>
    <row r="332">
      <c r="H332" s="14"/>
      <c r="U332" s="14"/>
      <c r="W332" s="14"/>
      <c r="X332" s="14"/>
      <c r="Y332" s="14"/>
    </row>
    <row r="333">
      <c r="H333" s="14"/>
      <c r="U333" s="14"/>
      <c r="W333" s="14"/>
      <c r="X333" s="14"/>
      <c r="Y333" s="14"/>
    </row>
    <row r="334">
      <c r="H334" s="14"/>
      <c r="U334" s="14"/>
      <c r="W334" s="14"/>
      <c r="X334" s="14"/>
      <c r="Y334" s="14"/>
    </row>
    <row r="335">
      <c r="H335" s="14"/>
      <c r="U335" s="14"/>
      <c r="W335" s="14"/>
      <c r="X335" s="14"/>
      <c r="Y335" s="14"/>
    </row>
    <row r="336">
      <c r="H336" s="14"/>
      <c r="U336" s="14"/>
      <c r="W336" s="14"/>
      <c r="X336" s="14"/>
      <c r="Y336" s="14"/>
    </row>
    <row r="337">
      <c r="H337" s="14"/>
      <c r="U337" s="14"/>
      <c r="W337" s="14"/>
      <c r="X337" s="14"/>
      <c r="Y337" s="14"/>
    </row>
    <row r="338">
      <c r="H338" s="14"/>
      <c r="U338" s="14"/>
      <c r="W338" s="14"/>
      <c r="X338" s="14"/>
      <c r="Y338" s="14"/>
    </row>
    <row r="339">
      <c r="H339" s="14"/>
      <c r="U339" s="14"/>
      <c r="W339" s="14"/>
      <c r="X339" s="14"/>
      <c r="Y339" s="14"/>
    </row>
    <row r="340">
      <c r="H340" s="14"/>
      <c r="U340" s="14"/>
      <c r="W340" s="14"/>
      <c r="X340" s="14"/>
      <c r="Y340" s="14"/>
    </row>
    <row r="341">
      <c r="H341" s="14"/>
      <c r="U341" s="14"/>
      <c r="W341" s="14"/>
      <c r="X341" s="14"/>
      <c r="Y341" s="14"/>
    </row>
    <row r="342">
      <c r="H342" s="14"/>
      <c r="U342" s="14"/>
      <c r="W342" s="14"/>
      <c r="X342" s="14"/>
      <c r="Y342" s="14"/>
    </row>
    <row r="343">
      <c r="H343" s="14"/>
      <c r="U343" s="14"/>
      <c r="W343" s="14"/>
      <c r="X343" s="14"/>
      <c r="Y343" s="14"/>
    </row>
    <row r="344">
      <c r="H344" s="14"/>
      <c r="U344" s="14"/>
      <c r="W344" s="14"/>
      <c r="X344" s="14"/>
      <c r="Y344" s="14"/>
    </row>
    <row r="345">
      <c r="H345" s="14"/>
      <c r="U345" s="14"/>
      <c r="W345" s="14"/>
      <c r="X345" s="14"/>
      <c r="Y345" s="14"/>
    </row>
    <row r="346">
      <c r="H346" s="14"/>
      <c r="U346" s="14"/>
      <c r="W346" s="14"/>
      <c r="X346" s="14"/>
      <c r="Y346" s="14"/>
    </row>
    <row r="347">
      <c r="H347" s="14"/>
      <c r="U347" s="14"/>
      <c r="W347" s="14"/>
      <c r="X347" s="14"/>
      <c r="Y347" s="14"/>
    </row>
    <row r="348">
      <c r="H348" s="14"/>
      <c r="U348" s="14"/>
      <c r="W348" s="14"/>
      <c r="X348" s="14"/>
      <c r="Y348" s="14"/>
    </row>
    <row r="349">
      <c r="H349" s="14"/>
      <c r="U349" s="14"/>
      <c r="W349" s="14"/>
      <c r="X349" s="14"/>
      <c r="Y349" s="14"/>
    </row>
    <row r="350">
      <c r="H350" s="14"/>
      <c r="U350" s="14"/>
      <c r="W350" s="14"/>
      <c r="X350" s="14"/>
      <c r="Y350" s="14"/>
    </row>
    <row r="351">
      <c r="H351" s="14"/>
      <c r="U351" s="14"/>
      <c r="W351" s="14"/>
      <c r="X351" s="14"/>
      <c r="Y351" s="14"/>
    </row>
    <row r="352">
      <c r="H352" s="14"/>
      <c r="U352" s="14"/>
      <c r="W352" s="14"/>
      <c r="X352" s="14"/>
      <c r="Y352" s="14"/>
    </row>
    <row r="353">
      <c r="H353" s="14"/>
      <c r="U353" s="14"/>
      <c r="W353" s="14"/>
      <c r="X353" s="14"/>
      <c r="Y353" s="14"/>
    </row>
    <row r="354">
      <c r="H354" s="14"/>
      <c r="U354" s="14"/>
      <c r="W354" s="14"/>
      <c r="X354" s="14"/>
      <c r="Y354" s="14"/>
    </row>
    <row r="355">
      <c r="H355" s="14"/>
      <c r="U355" s="14"/>
      <c r="W355" s="14"/>
      <c r="X355" s="14"/>
      <c r="Y355" s="14"/>
    </row>
    <row r="356">
      <c r="H356" s="14"/>
      <c r="U356" s="14"/>
      <c r="W356" s="14"/>
      <c r="X356" s="14"/>
      <c r="Y356" s="14"/>
    </row>
    <row r="357">
      <c r="H357" s="14"/>
      <c r="U357" s="14"/>
      <c r="W357" s="14"/>
      <c r="X357" s="14"/>
      <c r="Y357" s="14"/>
    </row>
    <row r="358">
      <c r="H358" s="14"/>
      <c r="U358" s="14"/>
      <c r="W358" s="14"/>
      <c r="X358" s="14"/>
      <c r="Y358" s="14"/>
    </row>
    <row r="359">
      <c r="H359" s="14"/>
      <c r="U359" s="14"/>
      <c r="W359" s="14"/>
      <c r="X359" s="14"/>
      <c r="Y359" s="14"/>
    </row>
    <row r="360">
      <c r="H360" s="14"/>
      <c r="U360" s="14"/>
      <c r="W360" s="14"/>
      <c r="X360" s="14"/>
      <c r="Y360" s="14"/>
    </row>
    <row r="361">
      <c r="H361" s="14"/>
      <c r="U361" s="14"/>
      <c r="W361" s="14"/>
      <c r="X361" s="14"/>
      <c r="Y361" s="14"/>
    </row>
    <row r="362">
      <c r="H362" s="14"/>
      <c r="U362" s="14"/>
      <c r="W362" s="14"/>
      <c r="X362" s="14"/>
      <c r="Y362" s="14"/>
    </row>
    <row r="363">
      <c r="H363" s="14"/>
      <c r="U363" s="14"/>
      <c r="W363" s="14"/>
      <c r="X363" s="14"/>
      <c r="Y363" s="14"/>
    </row>
    <row r="364">
      <c r="H364" s="14"/>
      <c r="U364" s="14"/>
      <c r="W364" s="14"/>
      <c r="X364" s="14"/>
      <c r="Y364" s="14"/>
    </row>
    <row r="365">
      <c r="H365" s="14"/>
      <c r="U365" s="14"/>
      <c r="W365" s="14"/>
      <c r="X365" s="14"/>
      <c r="Y365" s="14"/>
    </row>
    <row r="366">
      <c r="H366" s="14"/>
      <c r="U366" s="14"/>
      <c r="W366" s="14"/>
      <c r="X366" s="14"/>
      <c r="Y366" s="14"/>
    </row>
    <row r="367">
      <c r="H367" s="14"/>
      <c r="U367" s="14"/>
      <c r="W367" s="14"/>
      <c r="X367" s="14"/>
      <c r="Y367" s="14"/>
    </row>
    <row r="368">
      <c r="H368" s="14"/>
      <c r="U368" s="14"/>
      <c r="W368" s="14"/>
      <c r="X368" s="14"/>
      <c r="Y368" s="14"/>
    </row>
    <row r="369">
      <c r="H369" s="14"/>
      <c r="U369" s="14"/>
      <c r="W369" s="14"/>
      <c r="X369" s="14"/>
      <c r="Y369" s="14"/>
    </row>
    <row r="370">
      <c r="H370" s="14"/>
      <c r="U370" s="14"/>
      <c r="W370" s="14"/>
      <c r="X370" s="14"/>
      <c r="Y370" s="14"/>
    </row>
    <row r="371">
      <c r="H371" s="14"/>
      <c r="U371" s="14"/>
      <c r="W371" s="14"/>
      <c r="X371" s="14"/>
      <c r="Y371" s="14"/>
    </row>
    <row r="372">
      <c r="H372" s="14"/>
      <c r="U372" s="14"/>
      <c r="W372" s="14"/>
      <c r="X372" s="14"/>
      <c r="Y372" s="14"/>
    </row>
    <row r="373">
      <c r="H373" s="14"/>
      <c r="U373" s="14"/>
      <c r="W373" s="14"/>
      <c r="X373" s="14"/>
      <c r="Y373" s="14"/>
    </row>
    <row r="374">
      <c r="H374" s="14"/>
      <c r="U374" s="14"/>
      <c r="W374" s="14"/>
      <c r="X374" s="14"/>
      <c r="Y374" s="14"/>
    </row>
    <row r="375">
      <c r="H375" s="14"/>
      <c r="U375" s="14"/>
      <c r="W375" s="14"/>
      <c r="X375" s="14"/>
      <c r="Y375" s="14"/>
    </row>
    <row r="376">
      <c r="H376" s="14"/>
      <c r="U376" s="14"/>
      <c r="W376" s="14"/>
      <c r="X376" s="14"/>
      <c r="Y376" s="14"/>
    </row>
    <row r="377">
      <c r="H377" s="14"/>
      <c r="U377" s="14"/>
      <c r="W377" s="14"/>
      <c r="X377" s="14"/>
      <c r="Y377" s="14"/>
    </row>
    <row r="378">
      <c r="H378" s="14"/>
      <c r="U378" s="14"/>
      <c r="W378" s="14"/>
      <c r="X378" s="14"/>
      <c r="Y378" s="14"/>
    </row>
    <row r="379">
      <c r="H379" s="14"/>
      <c r="U379" s="14"/>
      <c r="W379" s="14"/>
      <c r="X379" s="14"/>
      <c r="Y379" s="14"/>
    </row>
    <row r="380">
      <c r="H380" s="14"/>
      <c r="U380" s="14"/>
      <c r="W380" s="14"/>
      <c r="X380" s="14"/>
      <c r="Y380" s="14"/>
    </row>
    <row r="381">
      <c r="H381" s="14"/>
      <c r="U381" s="14"/>
      <c r="W381" s="14"/>
      <c r="X381" s="14"/>
      <c r="Y381" s="14"/>
    </row>
    <row r="382">
      <c r="H382" s="14"/>
      <c r="U382" s="14"/>
      <c r="W382" s="14"/>
      <c r="X382" s="14"/>
      <c r="Y382" s="14"/>
    </row>
    <row r="383">
      <c r="H383" s="14"/>
      <c r="U383" s="14"/>
      <c r="W383" s="14"/>
      <c r="X383" s="14"/>
      <c r="Y383" s="14"/>
    </row>
    <row r="384">
      <c r="H384" s="14"/>
      <c r="U384" s="14"/>
      <c r="W384" s="14"/>
      <c r="X384" s="14"/>
      <c r="Y384" s="14"/>
    </row>
    <row r="385">
      <c r="H385" s="14"/>
      <c r="U385" s="14"/>
      <c r="W385" s="14"/>
      <c r="X385" s="14"/>
      <c r="Y385" s="14"/>
    </row>
    <row r="386">
      <c r="H386" s="14"/>
      <c r="U386" s="14"/>
      <c r="W386" s="14"/>
      <c r="X386" s="14"/>
      <c r="Y386" s="14"/>
    </row>
    <row r="387">
      <c r="H387" s="14"/>
      <c r="U387" s="14"/>
      <c r="W387" s="14"/>
      <c r="X387" s="14"/>
      <c r="Y387" s="14"/>
    </row>
    <row r="388">
      <c r="H388" s="14"/>
      <c r="U388" s="14"/>
      <c r="W388" s="14"/>
      <c r="X388" s="14"/>
      <c r="Y388" s="14"/>
    </row>
    <row r="389">
      <c r="H389" s="14"/>
      <c r="U389" s="14"/>
      <c r="W389" s="14"/>
      <c r="X389" s="14"/>
      <c r="Y389" s="14"/>
    </row>
    <row r="390">
      <c r="H390" s="14"/>
      <c r="U390" s="14"/>
      <c r="W390" s="14"/>
      <c r="X390" s="14"/>
      <c r="Y390" s="14"/>
    </row>
    <row r="391">
      <c r="H391" s="14"/>
      <c r="U391" s="14"/>
      <c r="W391" s="14"/>
      <c r="X391" s="14"/>
      <c r="Y391" s="14"/>
    </row>
    <row r="392">
      <c r="H392" s="14"/>
      <c r="U392" s="14"/>
      <c r="W392" s="14"/>
      <c r="X392" s="14"/>
      <c r="Y392" s="14"/>
    </row>
    <row r="393">
      <c r="H393" s="14"/>
      <c r="U393" s="14"/>
      <c r="W393" s="14"/>
      <c r="X393" s="14"/>
      <c r="Y393" s="14"/>
    </row>
    <row r="394">
      <c r="H394" s="14"/>
      <c r="U394" s="14"/>
      <c r="W394" s="14"/>
      <c r="X394" s="14"/>
      <c r="Y394" s="14"/>
    </row>
    <row r="395">
      <c r="H395" s="14"/>
      <c r="U395" s="14"/>
      <c r="W395" s="14"/>
      <c r="X395" s="14"/>
      <c r="Y395" s="14"/>
    </row>
    <row r="396">
      <c r="H396" s="14"/>
      <c r="U396" s="14"/>
      <c r="W396" s="14"/>
      <c r="X396" s="14"/>
      <c r="Y396" s="14"/>
    </row>
    <row r="397">
      <c r="H397" s="14"/>
      <c r="U397" s="14"/>
      <c r="W397" s="14"/>
      <c r="X397" s="14"/>
      <c r="Y397" s="14"/>
    </row>
    <row r="398">
      <c r="H398" s="14"/>
      <c r="U398" s="14"/>
      <c r="W398" s="14"/>
      <c r="X398" s="14"/>
      <c r="Y398" s="14"/>
    </row>
    <row r="399">
      <c r="H399" s="14"/>
      <c r="U399" s="14"/>
      <c r="W399" s="14"/>
      <c r="X399" s="14"/>
      <c r="Y399" s="14"/>
    </row>
    <row r="400">
      <c r="H400" s="14"/>
      <c r="U400" s="14"/>
      <c r="W400" s="14"/>
      <c r="X400" s="14"/>
      <c r="Y400" s="14"/>
    </row>
    <row r="401">
      <c r="H401" s="14"/>
      <c r="U401" s="14"/>
      <c r="W401" s="14"/>
      <c r="X401" s="14"/>
      <c r="Y401" s="14"/>
    </row>
    <row r="402">
      <c r="H402" s="14"/>
      <c r="U402" s="14"/>
      <c r="W402" s="14"/>
      <c r="X402" s="14"/>
      <c r="Y402" s="14"/>
    </row>
    <row r="403">
      <c r="H403" s="14"/>
      <c r="U403" s="14"/>
      <c r="W403" s="14"/>
      <c r="X403" s="14"/>
      <c r="Y403" s="14"/>
    </row>
    <row r="404">
      <c r="H404" s="14"/>
      <c r="U404" s="14"/>
      <c r="W404" s="14"/>
      <c r="X404" s="14"/>
      <c r="Y404" s="14"/>
    </row>
    <row r="405">
      <c r="H405" s="14"/>
      <c r="U405" s="14"/>
      <c r="W405" s="14"/>
      <c r="X405" s="14"/>
      <c r="Y405" s="14"/>
    </row>
    <row r="406">
      <c r="H406" s="14"/>
      <c r="U406" s="14"/>
      <c r="W406" s="14"/>
      <c r="X406" s="14"/>
      <c r="Y406" s="14"/>
    </row>
    <row r="407">
      <c r="H407" s="14"/>
      <c r="U407" s="14"/>
      <c r="W407" s="14"/>
      <c r="X407" s="14"/>
      <c r="Y407" s="14"/>
    </row>
    <row r="408">
      <c r="H408" s="14"/>
      <c r="U408" s="14"/>
      <c r="W408" s="14"/>
      <c r="X408" s="14"/>
      <c r="Y408" s="14"/>
    </row>
    <row r="409">
      <c r="H409" s="14"/>
      <c r="U409" s="14"/>
      <c r="W409" s="14"/>
      <c r="X409" s="14"/>
      <c r="Y409" s="14"/>
    </row>
    <row r="410">
      <c r="H410" s="14"/>
      <c r="U410" s="14"/>
      <c r="W410" s="14"/>
      <c r="X410" s="14"/>
      <c r="Y410" s="14"/>
    </row>
    <row r="411">
      <c r="H411" s="14"/>
      <c r="U411" s="14"/>
      <c r="W411" s="14"/>
      <c r="X411" s="14"/>
      <c r="Y411" s="14"/>
    </row>
    <row r="412">
      <c r="H412" s="14"/>
      <c r="U412" s="14"/>
      <c r="W412" s="14"/>
      <c r="X412" s="14"/>
      <c r="Y412" s="14"/>
    </row>
    <row r="413">
      <c r="H413" s="14"/>
      <c r="U413" s="14"/>
      <c r="W413" s="14"/>
      <c r="X413" s="14"/>
      <c r="Y413" s="14"/>
    </row>
    <row r="414">
      <c r="H414" s="14"/>
      <c r="U414" s="14"/>
      <c r="W414" s="14"/>
      <c r="X414" s="14"/>
      <c r="Y414" s="14"/>
    </row>
    <row r="415">
      <c r="H415" s="14"/>
      <c r="U415" s="14"/>
      <c r="W415" s="14"/>
      <c r="X415" s="14"/>
      <c r="Y415" s="14"/>
    </row>
    <row r="416">
      <c r="H416" s="14"/>
      <c r="U416" s="14"/>
      <c r="W416" s="14"/>
      <c r="X416" s="14"/>
      <c r="Y416" s="14"/>
    </row>
    <row r="417">
      <c r="H417" s="14"/>
      <c r="U417" s="14"/>
      <c r="W417" s="14"/>
      <c r="X417" s="14"/>
      <c r="Y417" s="14"/>
    </row>
    <row r="418">
      <c r="H418" s="14"/>
      <c r="U418" s="14"/>
      <c r="W418" s="14"/>
      <c r="X418" s="14"/>
      <c r="Y418" s="14"/>
    </row>
    <row r="419">
      <c r="H419" s="14"/>
      <c r="U419" s="14"/>
      <c r="W419" s="14"/>
      <c r="X419" s="14"/>
      <c r="Y419" s="14"/>
    </row>
    <row r="420">
      <c r="H420" s="14"/>
      <c r="U420" s="14"/>
      <c r="W420" s="14"/>
      <c r="X420" s="14"/>
      <c r="Y420" s="14"/>
    </row>
    <row r="421">
      <c r="H421" s="14"/>
      <c r="U421" s="14"/>
      <c r="W421" s="14"/>
      <c r="X421" s="14"/>
      <c r="Y421" s="14"/>
    </row>
    <row r="422">
      <c r="H422" s="14"/>
      <c r="U422" s="14"/>
      <c r="W422" s="14"/>
      <c r="X422" s="14"/>
      <c r="Y422" s="14"/>
    </row>
    <row r="423">
      <c r="H423" s="14"/>
      <c r="U423" s="14"/>
      <c r="W423" s="14"/>
      <c r="X423" s="14"/>
      <c r="Y423" s="14"/>
    </row>
    <row r="424">
      <c r="H424" s="14"/>
      <c r="U424" s="14"/>
      <c r="W424" s="14"/>
      <c r="X424" s="14"/>
      <c r="Y424" s="14"/>
    </row>
    <row r="425">
      <c r="H425" s="14"/>
      <c r="U425" s="14"/>
      <c r="W425" s="14"/>
      <c r="X425" s="14"/>
      <c r="Y425" s="14"/>
    </row>
    <row r="426">
      <c r="H426" s="14"/>
      <c r="U426" s="14"/>
      <c r="W426" s="14"/>
      <c r="X426" s="14"/>
      <c r="Y426" s="14"/>
    </row>
    <row r="427">
      <c r="H427" s="14"/>
      <c r="U427" s="14"/>
      <c r="W427" s="14"/>
      <c r="X427" s="14"/>
      <c r="Y427" s="14"/>
    </row>
    <row r="428">
      <c r="H428" s="14"/>
      <c r="U428" s="14"/>
      <c r="W428" s="14"/>
      <c r="X428" s="14"/>
      <c r="Y428" s="14"/>
    </row>
    <row r="429">
      <c r="H429" s="14"/>
      <c r="U429" s="14"/>
      <c r="W429" s="14"/>
      <c r="X429" s="14"/>
      <c r="Y429" s="14"/>
    </row>
    <row r="430">
      <c r="H430" s="14"/>
      <c r="U430" s="14"/>
      <c r="W430" s="14"/>
      <c r="X430" s="14"/>
      <c r="Y430" s="14"/>
    </row>
    <row r="431">
      <c r="H431" s="14"/>
      <c r="U431" s="14"/>
      <c r="W431" s="14"/>
      <c r="X431" s="14"/>
      <c r="Y431" s="14"/>
    </row>
    <row r="432">
      <c r="H432" s="14"/>
      <c r="U432" s="14"/>
      <c r="W432" s="14"/>
      <c r="X432" s="14"/>
      <c r="Y432" s="14"/>
    </row>
    <row r="433">
      <c r="H433" s="14"/>
      <c r="U433" s="14"/>
      <c r="W433" s="14"/>
      <c r="X433" s="14"/>
      <c r="Y433" s="14"/>
    </row>
    <row r="434">
      <c r="H434" s="14"/>
      <c r="U434" s="14"/>
      <c r="W434" s="14"/>
      <c r="X434" s="14"/>
      <c r="Y434" s="14"/>
    </row>
    <row r="435">
      <c r="H435" s="14"/>
      <c r="U435" s="14"/>
      <c r="W435" s="14"/>
      <c r="X435" s="14"/>
      <c r="Y435" s="14"/>
    </row>
    <row r="436">
      <c r="H436" s="14"/>
      <c r="U436" s="14"/>
      <c r="W436" s="14"/>
      <c r="X436" s="14"/>
      <c r="Y436" s="14"/>
    </row>
    <row r="437">
      <c r="H437" s="14"/>
      <c r="U437" s="14"/>
      <c r="W437" s="14"/>
      <c r="X437" s="14"/>
      <c r="Y437" s="14"/>
    </row>
    <row r="438">
      <c r="H438" s="14"/>
      <c r="U438" s="14"/>
      <c r="W438" s="14"/>
      <c r="X438" s="14"/>
      <c r="Y438" s="14"/>
    </row>
    <row r="439">
      <c r="H439" s="14"/>
      <c r="U439" s="14"/>
      <c r="W439" s="14"/>
      <c r="X439" s="14"/>
      <c r="Y439" s="14"/>
    </row>
    <row r="440">
      <c r="H440" s="14"/>
      <c r="U440" s="14"/>
      <c r="W440" s="14"/>
      <c r="X440" s="14"/>
      <c r="Y440" s="14"/>
    </row>
    <row r="441">
      <c r="H441" s="14"/>
      <c r="U441" s="14"/>
      <c r="W441" s="14"/>
      <c r="X441" s="14"/>
      <c r="Y441" s="14"/>
    </row>
    <row r="442">
      <c r="H442" s="14"/>
      <c r="U442" s="14"/>
      <c r="W442" s="14"/>
      <c r="X442" s="14"/>
      <c r="Y442" s="14"/>
    </row>
    <row r="443">
      <c r="H443" s="14"/>
      <c r="U443" s="14"/>
      <c r="W443" s="14"/>
      <c r="X443" s="14"/>
      <c r="Y443" s="14"/>
    </row>
    <row r="444">
      <c r="H444" s="14"/>
      <c r="U444" s="14"/>
      <c r="W444" s="14"/>
      <c r="X444" s="14"/>
      <c r="Y444" s="14"/>
    </row>
    <row r="445">
      <c r="H445" s="14"/>
      <c r="U445" s="14"/>
      <c r="W445" s="14"/>
      <c r="X445" s="14"/>
      <c r="Y445" s="14"/>
    </row>
    <row r="446">
      <c r="H446" s="14"/>
      <c r="U446" s="14"/>
      <c r="W446" s="14"/>
      <c r="X446" s="14"/>
      <c r="Y446" s="14"/>
    </row>
    <row r="447">
      <c r="H447" s="14"/>
      <c r="U447" s="14"/>
      <c r="W447" s="14"/>
      <c r="X447" s="14"/>
      <c r="Y447" s="14"/>
    </row>
    <row r="448">
      <c r="H448" s="14"/>
      <c r="U448" s="14"/>
      <c r="W448" s="14"/>
      <c r="X448" s="14"/>
      <c r="Y448" s="14"/>
    </row>
    <row r="449">
      <c r="H449" s="14"/>
      <c r="U449" s="14"/>
      <c r="W449" s="14"/>
      <c r="X449" s="14"/>
      <c r="Y449" s="14"/>
    </row>
    <row r="450">
      <c r="H450" s="14"/>
      <c r="U450" s="14"/>
      <c r="W450" s="14"/>
      <c r="X450" s="14"/>
      <c r="Y450" s="14"/>
    </row>
    <row r="451">
      <c r="H451" s="14"/>
      <c r="U451" s="14"/>
      <c r="W451" s="14"/>
      <c r="X451" s="14"/>
      <c r="Y451" s="14"/>
    </row>
    <row r="452">
      <c r="H452" s="14"/>
      <c r="U452" s="14"/>
      <c r="W452" s="14"/>
      <c r="X452" s="14"/>
      <c r="Y452" s="14"/>
    </row>
    <row r="453">
      <c r="H453" s="14"/>
      <c r="U453" s="14"/>
      <c r="W453" s="14"/>
      <c r="X453" s="14"/>
      <c r="Y453" s="14"/>
    </row>
    <row r="454">
      <c r="H454" s="14"/>
      <c r="U454" s="14"/>
      <c r="W454" s="14"/>
      <c r="X454" s="14"/>
      <c r="Y454" s="14"/>
    </row>
    <row r="455">
      <c r="H455" s="14"/>
      <c r="U455" s="14"/>
      <c r="W455" s="14"/>
      <c r="X455" s="14"/>
      <c r="Y455" s="14"/>
    </row>
    <row r="456">
      <c r="H456" s="14"/>
      <c r="U456" s="14"/>
      <c r="W456" s="14"/>
      <c r="X456" s="14"/>
      <c r="Y456" s="14"/>
    </row>
    <row r="457">
      <c r="H457" s="14"/>
      <c r="U457" s="14"/>
      <c r="W457" s="14"/>
      <c r="X457" s="14"/>
      <c r="Y457" s="14"/>
    </row>
    <row r="458">
      <c r="H458" s="14"/>
      <c r="U458" s="14"/>
      <c r="W458" s="14"/>
      <c r="X458" s="14"/>
      <c r="Y458" s="14"/>
    </row>
    <row r="459">
      <c r="H459" s="14"/>
      <c r="U459" s="14"/>
      <c r="W459" s="14"/>
      <c r="X459" s="14"/>
      <c r="Y459" s="14"/>
    </row>
    <row r="460">
      <c r="H460" s="14"/>
      <c r="U460" s="14"/>
      <c r="W460" s="14"/>
      <c r="X460" s="14"/>
      <c r="Y460" s="14"/>
    </row>
    <row r="461">
      <c r="H461" s="14"/>
      <c r="U461" s="14"/>
      <c r="W461" s="14"/>
      <c r="X461" s="14"/>
      <c r="Y461" s="14"/>
    </row>
    <row r="462">
      <c r="H462" s="14"/>
      <c r="U462" s="14"/>
      <c r="W462" s="14"/>
      <c r="X462" s="14"/>
      <c r="Y462" s="14"/>
    </row>
    <row r="463">
      <c r="H463" s="14"/>
      <c r="U463" s="14"/>
      <c r="W463" s="14"/>
      <c r="X463" s="14"/>
      <c r="Y463" s="14"/>
    </row>
    <row r="464">
      <c r="H464" s="14"/>
      <c r="U464" s="14"/>
      <c r="W464" s="14"/>
      <c r="X464" s="14"/>
      <c r="Y464" s="14"/>
    </row>
    <row r="465">
      <c r="H465" s="14"/>
      <c r="U465" s="14"/>
      <c r="W465" s="14"/>
      <c r="X465" s="14"/>
      <c r="Y465" s="14"/>
    </row>
    <row r="466">
      <c r="H466" s="14"/>
      <c r="U466" s="14"/>
      <c r="W466" s="14"/>
      <c r="X466" s="14"/>
      <c r="Y466" s="14"/>
    </row>
    <row r="467">
      <c r="H467" s="14"/>
      <c r="U467" s="14"/>
      <c r="W467" s="14"/>
      <c r="X467" s="14"/>
      <c r="Y467" s="14"/>
    </row>
    <row r="468">
      <c r="H468" s="14"/>
      <c r="U468" s="14"/>
      <c r="W468" s="14"/>
      <c r="X468" s="14"/>
      <c r="Y468" s="14"/>
    </row>
    <row r="469">
      <c r="H469" s="14"/>
      <c r="U469" s="14"/>
      <c r="W469" s="14"/>
      <c r="X469" s="14"/>
      <c r="Y469" s="14"/>
    </row>
    <row r="470">
      <c r="H470" s="14"/>
      <c r="U470" s="14"/>
      <c r="W470" s="14"/>
      <c r="X470" s="14"/>
      <c r="Y470" s="14"/>
    </row>
    <row r="471">
      <c r="H471" s="14"/>
      <c r="U471" s="14"/>
      <c r="W471" s="14"/>
      <c r="X471" s="14"/>
      <c r="Y471" s="14"/>
    </row>
    <row r="472">
      <c r="H472" s="14"/>
      <c r="U472" s="14"/>
      <c r="W472" s="14"/>
      <c r="X472" s="14"/>
      <c r="Y472" s="14"/>
    </row>
    <row r="473">
      <c r="H473" s="14"/>
      <c r="U473" s="14"/>
      <c r="W473" s="14"/>
      <c r="X473" s="14"/>
      <c r="Y473" s="14"/>
    </row>
    <row r="474">
      <c r="H474" s="14"/>
      <c r="U474" s="14"/>
      <c r="W474" s="14"/>
      <c r="X474" s="14"/>
      <c r="Y474" s="14"/>
    </row>
    <row r="475">
      <c r="H475" s="14"/>
      <c r="U475" s="14"/>
      <c r="W475" s="14"/>
      <c r="X475" s="14"/>
      <c r="Y475" s="14"/>
    </row>
    <row r="476">
      <c r="H476" s="14"/>
      <c r="U476" s="14"/>
      <c r="W476" s="14"/>
      <c r="X476" s="14"/>
      <c r="Y476" s="14"/>
    </row>
    <row r="477">
      <c r="H477" s="14"/>
      <c r="U477" s="14"/>
      <c r="W477" s="14"/>
      <c r="X477" s="14"/>
      <c r="Y477" s="14"/>
    </row>
    <row r="478">
      <c r="H478" s="14"/>
      <c r="U478" s="14"/>
      <c r="W478" s="14"/>
      <c r="X478" s="14"/>
      <c r="Y478" s="14"/>
    </row>
    <row r="479">
      <c r="H479" s="14"/>
      <c r="U479" s="14"/>
      <c r="W479" s="14"/>
      <c r="X479" s="14"/>
      <c r="Y479" s="14"/>
    </row>
    <row r="480">
      <c r="H480" s="14"/>
      <c r="U480" s="14"/>
      <c r="W480" s="14"/>
      <c r="X480" s="14"/>
      <c r="Y480" s="14"/>
    </row>
    <row r="481">
      <c r="H481" s="14"/>
      <c r="U481" s="14"/>
      <c r="W481" s="14"/>
      <c r="X481" s="14"/>
      <c r="Y481" s="14"/>
    </row>
    <row r="482">
      <c r="H482" s="14"/>
      <c r="U482" s="14"/>
      <c r="W482" s="14"/>
      <c r="X482" s="14"/>
      <c r="Y482" s="14"/>
    </row>
    <row r="483">
      <c r="H483" s="14"/>
      <c r="U483" s="14"/>
      <c r="W483" s="14"/>
      <c r="X483" s="14"/>
      <c r="Y483" s="14"/>
    </row>
    <row r="484">
      <c r="H484" s="14"/>
      <c r="U484" s="14"/>
      <c r="W484" s="14"/>
      <c r="X484" s="14"/>
      <c r="Y484" s="14"/>
    </row>
    <row r="485">
      <c r="H485" s="14"/>
      <c r="U485" s="14"/>
      <c r="W485" s="14"/>
      <c r="X485" s="14"/>
      <c r="Y485" s="14"/>
    </row>
    <row r="486">
      <c r="H486" s="14"/>
      <c r="U486" s="14"/>
      <c r="W486" s="14"/>
      <c r="X486" s="14"/>
      <c r="Y486" s="14"/>
    </row>
    <row r="487">
      <c r="H487" s="14"/>
      <c r="U487" s="14"/>
      <c r="W487" s="14"/>
      <c r="X487" s="14"/>
      <c r="Y487" s="14"/>
    </row>
    <row r="488">
      <c r="H488" s="14"/>
      <c r="U488" s="14"/>
      <c r="W488" s="14"/>
      <c r="X488" s="14"/>
      <c r="Y488" s="14"/>
    </row>
    <row r="489">
      <c r="H489" s="14"/>
      <c r="U489" s="14"/>
      <c r="W489" s="14"/>
      <c r="X489" s="14"/>
      <c r="Y489" s="14"/>
    </row>
    <row r="490">
      <c r="H490" s="14"/>
      <c r="U490" s="14"/>
      <c r="W490" s="14"/>
      <c r="X490" s="14"/>
      <c r="Y490" s="14"/>
    </row>
    <row r="491">
      <c r="H491" s="14"/>
      <c r="U491" s="14"/>
      <c r="W491" s="14"/>
      <c r="X491" s="14"/>
      <c r="Y491" s="14"/>
    </row>
    <row r="492">
      <c r="H492" s="14"/>
      <c r="U492" s="14"/>
      <c r="W492" s="14"/>
      <c r="X492" s="14"/>
      <c r="Y492" s="14"/>
    </row>
    <row r="493">
      <c r="H493" s="14"/>
      <c r="U493" s="14"/>
      <c r="W493" s="14"/>
      <c r="X493" s="14"/>
      <c r="Y493" s="14"/>
    </row>
    <row r="494">
      <c r="H494" s="14"/>
      <c r="U494" s="14"/>
      <c r="W494" s="14"/>
      <c r="X494" s="14"/>
      <c r="Y494" s="14"/>
    </row>
    <row r="495">
      <c r="H495" s="14"/>
      <c r="U495" s="14"/>
      <c r="W495" s="14"/>
      <c r="X495" s="14"/>
      <c r="Y495" s="14"/>
    </row>
    <row r="496">
      <c r="H496" s="14"/>
      <c r="U496" s="14"/>
      <c r="W496" s="14"/>
      <c r="X496" s="14"/>
      <c r="Y496" s="14"/>
    </row>
    <row r="497">
      <c r="H497" s="14"/>
      <c r="U497" s="14"/>
      <c r="W497" s="14"/>
      <c r="X497" s="14"/>
      <c r="Y497" s="14"/>
    </row>
    <row r="498">
      <c r="H498" s="14"/>
      <c r="U498" s="14"/>
      <c r="W498" s="14"/>
      <c r="X498" s="14"/>
      <c r="Y498" s="14"/>
    </row>
    <row r="499">
      <c r="H499" s="14"/>
      <c r="U499" s="14"/>
      <c r="W499" s="14"/>
      <c r="X499" s="14"/>
      <c r="Y499" s="14"/>
    </row>
    <row r="500">
      <c r="H500" s="14"/>
      <c r="U500" s="14"/>
      <c r="W500" s="14"/>
      <c r="X500" s="14"/>
      <c r="Y500" s="14"/>
    </row>
    <row r="501">
      <c r="H501" s="14"/>
      <c r="U501" s="14"/>
      <c r="W501" s="14"/>
      <c r="X501" s="14"/>
      <c r="Y501" s="14"/>
    </row>
    <row r="502">
      <c r="H502" s="14"/>
      <c r="U502" s="14"/>
      <c r="W502" s="14"/>
      <c r="X502" s="14"/>
      <c r="Y502" s="14"/>
    </row>
    <row r="503">
      <c r="H503" s="14"/>
      <c r="U503" s="14"/>
      <c r="W503" s="14"/>
      <c r="X503" s="14"/>
      <c r="Y503" s="14"/>
    </row>
    <row r="504">
      <c r="H504" s="14"/>
      <c r="U504" s="14"/>
      <c r="W504" s="14"/>
      <c r="X504" s="14"/>
      <c r="Y504" s="14"/>
    </row>
    <row r="505">
      <c r="H505" s="14"/>
      <c r="U505" s="14"/>
      <c r="W505" s="14"/>
      <c r="X505" s="14"/>
      <c r="Y505" s="14"/>
    </row>
    <row r="506">
      <c r="H506" s="14"/>
      <c r="U506" s="14"/>
      <c r="W506" s="14"/>
      <c r="X506" s="14"/>
      <c r="Y506" s="14"/>
    </row>
    <row r="507">
      <c r="H507" s="14"/>
      <c r="U507" s="14"/>
      <c r="W507" s="14"/>
      <c r="X507" s="14"/>
      <c r="Y507" s="14"/>
    </row>
    <row r="508">
      <c r="H508" s="14"/>
      <c r="U508" s="14"/>
      <c r="W508" s="14"/>
      <c r="X508" s="14"/>
      <c r="Y508" s="14"/>
    </row>
    <row r="509">
      <c r="H509" s="14"/>
      <c r="U509" s="14"/>
      <c r="W509" s="14"/>
      <c r="X509" s="14"/>
      <c r="Y509" s="14"/>
    </row>
    <row r="510">
      <c r="H510" s="14"/>
      <c r="U510" s="14"/>
      <c r="W510" s="14"/>
      <c r="X510" s="14"/>
      <c r="Y510" s="14"/>
    </row>
    <row r="511">
      <c r="H511" s="14"/>
      <c r="U511" s="14"/>
      <c r="W511" s="14"/>
      <c r="X511" s="14"/>
      <c r="Y511" s="14"/>
    </row>
    <row r="512">
      <c r="H512" s="14"/>
      <c r="U512" s="14"/>
      <c r="W512" s="14"/>
      <c r="X512" s="14"/>
      <c r="Y512" s="14"/>
    </row>
    <row r="513">
      <c r="H513" s="14"/>
      <c r="U513" s="14"/>
      <c r="W513" s="14"/>
      <c r="X513" s="14"/>
      <c r="Y513" s="14"/>
    </row>
    <row r="514">
      <c r="H514" s="14"/>
      <c r="U514" s="14"/>
      <c r="W514" s="14"/>
      <c r="X514" s="14"/>
      <c r="Y514" s="14"/>
    </row>
    <row r="515">
      <c r="H515" s="14"/>
      <c r="U515" s="14"/>
      <c r="W515" s="14"/>
      <c r="X515" s="14"/>
      <c r="Y515" s="14"/>
    </row>
    <row r="516">
      <c r="H516" s="14"/>
      <c r="U516" s="14"/>
      <c r="W516" s="14"/>
      <c r="X516" s="14"/>
      <c r="Y516" s="14"/>
    </row>
    <row r="517">
      <c r="H517" s="14"/>
      <c r="U517" s="14"/>
      <c r="W517" s="14"/>
      <c r="X517" s="14"/>
      <c r="Y517" s="14"/>
    </row>
    <row r="518">
      <c r="H518" s="14"/>
      <c r="U518" s="14"/>
      <c r="W518" s="14"/>
      <c r="X518" s="14"/>
      <c r="Y518" s="14"/>
    </row>
    <row r="519">
      <c r="H519" s="14"/>
      <c r="U519" s="14"/>
      <c r="W519" s="14"/>
      <c r="X519" s="14"/>
      <c r="Y519" s="14"/>
    </row>
    <row r="520">
      <c r="H520" s="14"/>
      <c r="U520" s="14"/>
      <c r="W520" s="14"/>
      <c r="X520" s="14"/>
      <c r="Y520" s="14"/>
    </row>
    <row r="521">
      <c r="H521" s="14"/>
      <c r="U521" s="14"/>
      <c r="W521" s="14"/>
      <c r="X521" s="14"/>
      <c r="Y521" s="14"/>
    </row>
    <row r="522">
      <c r="H522" s="14"/>
      <c r="U522" s="14"/>
      <c r="W522" s="14"/>
      <c r="X522" s="14"/>
      <c r="Y522" s="14"/>
    </row>
    <row r="523">
      <c r="H523" s="14"/>
      <c r="U523" s="14"/>
      <c r="W523" s="14"/>
      <c r="X523" s="14"/>
      <c r="Y523" s="14"/>
    </row>
    <row r="524">
      <c r="H524" s="14"/>
      <c r="U524" s="14"/>
      <c r="W524" s="14"/>
      <c r="X524" s="14"/>
      <c r="Y524" s="14"/>
    </row>
    <row r="525">
      <c r="H525" s="14"/>
      <c r="U525" s="14"/>
      <c r="W525" s="14"/>
      <c r="X525" s="14"/>
      <c r="Y525" s="14"/>
    </row>
    <row r="526">
      <c r="H526" s="14"/>
      <c r="U526" s="14"/>
      <c r="W526" s="14"/>
      <c r="X526" s="14"/>
      <c r="Y526" s="14"/>
    </row>
    <row r="527">
      <c r="H527" s="14"/>
      <c r="U527" s="14"/>
      <c r="W527" s="14"/>
      <c r="X527" s="14"/>
      <c r="Y527" s="14"/>
    </row>
    <row r="528">
      <c r="H528" s="14"/>
      <c r="U528" s="14"/>
      <c r="W528" s="14"/>
      <c r="X528" s="14"/>
      <c r="Y528" s="14"/>
    </row>
    <row r="529">
      <c r="H529" s="14"/>
      <c r="U529" s="14"/>
      <c r="W529" s="14"/>
      <c r="X529" s="14"/>
      <c r="Y529" s="14"/>
    </row>
    <row r="530">
      <c r="H530" s="14"/>
      <c r="U530" s="14"/>
      <c r="W530" s="14"/>
      <c r="X530" s="14"/>
      <c r="Y530" s="14"/>
    </row>
    <row r="531">
      <c r="H531" s="14"/>
      <c r="U531" s="14"/>
      <c r="W531" s="14"/>
      <c r="X531" s="14"/>
      <c r="Y531" s="14"/>
    </row>
    <row r="532">
      <c r="H532" s="14"/>
      <c r="U532" s="14"/>
      <c r="W532" s="14"/>
      <c r="X532" s="14"/>
      <c r="Y532" s="14"/>
    </row>
    <row r="533">
      <c r="H533" s="14"/>
      <c r="U533" s="14"/>
      <c r="W533" s="14"/>
      <c r="X533" s="14"/>
      <c r="Y533" s="14"/>
    </row>
    <row r="534">
      <c r="H534" s="14"/>
      <c r="U534" s="14"/>
      <c r="W534" s="14"/>
      <c r="X534" s="14"/>
      <c r="Y534" s="14"/>
    </row>
    <row r="535">
      <c r="H535" s="14"/>
      <c r="U535" s="14"/>
      <c r="W535" s="14"/>
      <c r="X535" s="14"/>
      <c r="Y535" s="14"/>
    </row>
    <row r="536">
      <c r="H536" s="14"/>
      <c r="U536" s="14"/>
      <c r="W536" s="14"/>
      <c r="X536" s="14"/>
      <c r="Y536" s="14"/>
    </row>
    <row r="537">
      <c r="H537" s="14"/>
      <c r="U537" s="14"/>
      <c r="W537" s="14"/>
      <c r="X537" s="14"/>
      <c r="Y537" s="14"/>
    </row>
    <row r="538">
      <c r="H538" s="14"/>
      <c r="U538" s="14"/>
      <c r="W538" s="14"/>
      <c r="X538" s="14"/>
      <c r="Y538" s="14"/>
    </row>
    <row r="539">
      <c r="H539" s="14"/>
      <c r="U539" s="14"/>
      <c r="W539" s="14"/>
      <c r="X539" s="14"/>
      <c r="Y539" s="14"/>
    </row>
    <row r="540">
      <c r="H540" s="14"/>
      <c r="U540" s="14"/>
      <c r="W540" s="14"/>
      <c r="X540" s="14"/>
      <c r="Y540" s="14"/>
    </row>
    <row r="541">
      <c r="H541" s="14"/>
      <c r="U541" s="14"/>
      <c r="W541" s="14"/>
      <c r="X541" s="14"/>
      <c r="Y541" s="14"/>
    </row>
    <row r="542">
      <c r="H542" s="14"/>
      <c r="U542" s="14"/>
      <c r="W542" s="14"/>
      <c r="X542" s="14"/>
      <c r="Y542" s="14"/>
    </row>
    <row r="543">
      <c r="H543" s="14"/>
      <c r="U543" s="14"/>
      <c r="W543" s="14"/>
      <c r="X543" s="14"/>
      <c r="Y543" s="14"/>
    </row>
    <row r="544">
      <c r="H544" s="14"/>
      <c r="U544" s="14"/>
      <c r="W544" s="14"/>
      <c r="X544" s="14"/>
      <c r="Y544" s="14"/>
    </row>
    <row r="545">
      <c r="H545" s="14"/>
      <c r="U545" s="14"/>
      <c r="W545" s="14"/>
      <c r="X545" s="14"/>
      <c r="Y545" s="14"/>
    </row>
    <row r="546">
      <c r="H546" s="14"/>
      <c r="U546" s="14"/>
      <c r="W546" s="14"/>
      <c r="X546" s="14"/>
      <c r="Y546" s="14"/>
    </row>
    <row r="547">
      <c r="H547" s="14"/>
      <c r="U547" s="14"/>
      <c r="W547" s="14"/>
      <c r="X547" s="14"/>
      <c r="Y547" s="14"/>
    </row>
    <row r="548">
      <c r="H548" s="14"/>
      <c r="U548" s="14"/>
      <c r="W548" s="14"/>
      <c r="X548" s="14"/>
      <c r="Y548" s="14"/>
    </row>
    <row r="549">
      <c r="H549" s="14"/>
      <c r="U549" s="14"/>
      <c r="W549" s="14"/>
      <c r="X549" s="14"/>
      <c r="Y549" s="14"/>
    </row>
    <row r="550">
      <c r="H550" s="14"/>
      <c r="U550" s="14"/>
      <c r="W550" s="14"/>
      <c r="X550" s="14"/>
      <c r="Y550" s="14"/>
    </row>
    <row r="551">
      <c r="H551" s="14"/>
      <c r="U551" s="14"/>
      <c r="W551" s="14"/>
      <c r="X551" s="14"/>
      <c r="Y551" s="14"/>
    </row>
    <row r="552">
      <c r="H552" s="14"/>
      <c r="U552" s="14"/>
      <c r="W552" s="14"/>
      <c r="X552" s="14"/>
      <c r="Y552" s="14"/>
    </row>
    <row r="553">
      <c r="H553" s="14"/>
      <c r="U553" s="14"/>
      <c r="W553" s="14"/>
      <c r="X553" s="14"/>
      <c r="Y553" s="14"/>
    </row>
    <row r="554">
      <c r="H554" s="14"/>
      <c r="U554" s="14"/>
      <c r="W554" s="14"/>
      <c r="X554" s="14"/>
      <c r="Y554" s="14"/>
    </row>
    <row r="555">
      <c r="H555" s="14"/>
      <c r="U555" s="14"/>
      <c r="W555" s="14"/>
      <c r="X555" s="14"/>
      <c r="Y555" s="14"/>
    </row>
    <row r="556">
      <c r="H556" s="14"/>
      <c r="U556" s="14"/>
      <c r="W556" s="14"/>
      <c r="X556" s="14"/>
      <c r="Y556" s="14"/>
    </row>
    <row r="557">
      <c r="H557" s="14"/>
      <c r="U557" s="14"/>
      <c r="W557" s="14"/>
      <c r="X557" s="14"/>
      <c r="Y557" s="14"/>
    </row>
    <row r="558">
      <c r="H558" s="14"/>
      <c r="U558" s="14"/>
      <c r="W558" s="14"/>
      <c r="X558" s="14"/>
      <c r="Y558" s="14"/>
    </row>
    <row r="559">
      <c r="H559" s="14"/>
      <c r="U559" s="14"/>
      <c r="W559" s="14"/>
      <c r="X559" s="14"/>
      <c r="Y559" s="14"/>
    </row>
    <row r="560">
      <c r="H560" s="14"/>
      <c r="U560" s="14"/>
      <c r="W560" s="14"/>
      <c r="X560" s="14"/>
      <c r="Y560" s="14"/>
    </row>
    <row r="561">
      <c r="H561" s="14"/>
      <c r="U561" s="14"/>
      <c r="W561" s="14"/>
      <c r="X561" s="14"/>
      <c r="Y561" s="14"/>
    </row>
    <row r="562">
      <c r="H562" s="14"/>
      <c r="U562" s="14"/>
      <c r="W562" s="14"/>
      <c r="X562" s="14"/>
      <c r="Y562" s="14"/>
    </row>
    <row r="563">
      <c r="H563" s="14"/>
      <c r="U563" s="14"/>
      <c r="W563" s="14"/>
      <c r="X563" s="14"/>
      <c r="Y563" s="14"/>
    </row>
    <row r="564">
      <c r="H564" s="14"/>
      <c r="U564" s="14"/>
      <c r="W564" s="14"/>
      <c r="X564" s="14"/>
      <c r="Y564" s="14"/>
    </row>
    <row r="565">
      <c r="H565" s="14"/>
      <c r="U565" s="14"/>
      <c r="W565" s="14"/>
      <c r="X565" s="14"/>
      <c r="Y565" s="14"/>
    </row>
    <row r="566">
      <c r="H566" s="14"/>
      <c r="U566" s="14"/>
      <c r="W566" s="14"/>
      <c r="X566" s="14"/>
      <c r="Y566" s="14"/>
    </row>
    <row r="567">
      <c r="H567" s="14"/>
      <c r="U567" s="14"/>
      <c r="W567" s="14"/>
      <c r="X567" s="14"/>
      <c r="Y567" s="14"/>
    </row>
    <row r="568">
      <c r="H568" s="14"/>
      <c r="U568" s="14"/>
      <c r="W568" s="14"/>
      <c r="X568" s="14"/>
      <c r="Y568" s="14"/>
    </row>
    <row r="569">
      <c r="H569" s="14"/>
      <c r="U569" s="14"/>
      <c r="W569" s="14"/>
      <c r="X569" s="14"/>
      <c r="Y569" s="14"/>
    </row>
    <row r="570">
      <c r="H570" s="14"/>
      <c r="U570" s="14"/>
      <c r="W570" s="14"/>
      <c r="X570" s="14"/>
      <c r="Y570" s="14"/>
    </row>
    <row r="571">
      <c r="H571" s="14"/>
      <c r="U571" s="14"/>
      <c r="W571" s="14"/>
      <c r="X571" s="14"/>
      <c r="Y571" s="14"/>
    </row>
    <row r="572">
      <c r="H572" s="14"/>
      <c r="U572" s="14"/>
      <c r="W572" s="14"/>
      <c r="X572" s="14"/>
      <c r="Y572" s="14"/>
    </row>
    <row r="573">
      <c r="H573" s="14"/>
      <c r="U573" s="14"/>
      <c r="W573" s="14"/>
      <c r="X573" s="14"/>
      <c r="Y573" s="14"/>
    </row>
    <row r="574">
      <c r="H574" s="14"/>
      <c r="U574" s="14"/>
      <c r="W574" s="14"/>
      <c r="X574" s="14"/>
      <c r="Y574" s="14"/>
    </row>
    <row r="575">
      <c r="H575" s="14"/>
      <c r="U575" s="14"/>
      <c r="W575" s="14"/>
      <c r="X575" s="14"/>
      <c r="Y575" s="14"/>
    </row>
    <row r="576">
      <c r="H576" s="14"/>
      <c r="U576" s="14"/>
      <c r="W576" s="14"/>
      <c r="X576" s="14"/>
      <c r="Y576" s="14"/>
    </row>
    <row r="577">
      <c r="H577" s="14"/>
      <c r="U577" s="14"/>
      <c r="W577" s="14"/>
      <c r="X577" s="14"/>
      <c r="Y577" s="14"/>
    </row>
    <row r="578">
      <c r="H578" s="14"/>
      <c r="U578" s="14"/>
      <c r="W578" s="14"/>
      <c r="X578" s="14"/>
      <c r="Y578" s="14"/>
    </row>
    <row r="579">
      <c r="H579" s="14"/>
      <c r="U579" s="14"/>
      <c r="W579" s="14"/>
      <c r="X579" s="14"/>
      <c r="Y579" s="14"/>
    </row>
    <row r="580">
      <c r="H580" s="14"/>
      <c r="U580" s="14"/>
      <c r="W580" s="14"/>
      <c r="X580" s="14"/>
      <c r="Y580" s="14"/>
    </row>
    <row r="581">
      <c r="H581" s="14"/>
      <c r="U581" s="14"/>
      <c r="W581" s="14"/>
      <c r="X581" s="14"/>
      <c r="Y581" s="14"/>
    </row>
    <row r="582">
      <c r="H582" s="14"/>
      <c r="U582" s="14"/>
      <c r="W582" s="14"/>
      <c r="X582" s="14"/>
      <c r="Y582" s="14"/>
    </row>
    <row r="583">
      <c r="H583" s="14"/>
      <c r="U583" s="14"/>
      <c r="W583" s="14"/>
      <c r="X583" s="14"/>
      <c r="Y583" s="14"/>
    </row>
    <row r="584">
      <c r="H584" s="14"/>
      <c r="U584" s="14"/>
      <c r="W584" s="14"/>
      <c r="X584" s="14"/>
      <c r="Y584" s="14"/>
    </row>
    <row r="585">
      <c r="H585" s="14"/>
      <c r="U585" s="14"/>
      <c r="W585" s="14"/>
      <c r="X585" s="14"/>
      <c r="Y585" s="14"/>
    </row>
    <row r="586">
      <c r="H586" s="14"/>
      <c r="U586" s="14"/>
      <c r="W586" s="14"/>
      <c r="X586" s="14"/>
      <c r="Y586" s="14"/>
    </row>
    <row r="587">
      <c r="H587" s="14"/>
      <c r="U587" s="14"/>
      <c r="W587" s="14"/>
      <c r="X587" s="14"/>
      <c r="Y587" s="14"/>
    </row>
    <row r="588">
      <c r="H588" s="14"/>
      <c r="U588" s="14"/>
      <c r="W588" s="14"/>
      <c r="X588" s="14"/>
      <c r="Y588" s="14"/>
    </row>
    <row r="589">
      <c r="H589" s="14"/>
      <c r="U589" s="14"/>
      <c r="W589" s="14"/>
      <c r="X589" s="14"/>
      <c r="Y589" s="14"/>
    </row>
    <row r="590">
      <c r="H590" s="14"/>
      <c r="U590" s="14"/>
      <c r="W590" s="14"/>
      <c r="X590" s="14"/>
      <c r="Y590" s="14"/>
    </row>
    <row r="591">
      <c r="H591" s="14"/>
      <c r="U591" s="14"/>
      <c r="W591" s="14"/>
      <c r="X591" s="14"/>
      <c r="Y591" s="14"/>
    </row>
    <row r="592">
      <c r="H592" s="14"/>
      <c r="U592" s="14"/>
      <c r="W592" s="14"/>
      <c r="X592" s="14"/>
      <c r="Y592" s="14"/>
    </row>
    <row r="593">
      <c r="H593" s="14"/>
      <c r="U593" s="14"/>
      <c r="W593" s="14"/>
      <c r="X593" s="14"/>
      <c r="Y593" s="14"/>
    </row>
    <row r="594">
      <c r="H594" s="14"/>
      <c r="U594" s="14"/>
      <c r="W594" s="14"/>
      <c r="X594" s="14"/>
      <c r="Y594" s="14"/>
    </row>
    <row r="595">
      <c r="H595" s="14"/>
      <c r="U595" s="14"/>
      <c r="W595" s="14"/>
      <c r="X595" s="14"/>
      <c r="Y595" s="14"/>
    </row>
    <row r="596">
      <c r="H596" s="14"/>
      <c r="U596" s="14"/>
      <c r="W596" s="14"/>
      <c r="X596" s="14"/>
      <c r="Y596" s="14"/>
    </row>
    <row r="597">
      <c r="H597" s="14"/>
      <c r="U597" s="14"/>
      <c r="W597" s="14"/>
      <c r="X597" s="14"/>
      <c r="Y597" s="14"/>
    </row>
    <row r="598">
      <c r="H598" s="14"/>
      <c r="U598" s="14"/>
      <c r="W598" s="14"/>
      <c r="X598" s="14"/>
      <c r="Y598" s="14"/>
    </row>
    <row r="599">
      <c r="H599" s="14"/>
      <c r="U599" s="14"/>
      <c r="W599" s="14"/>
      <c r="X599" s="14"/>
      <c r="Y599" s="14"/>
    </row>
    <row r="600">
      <c r="H600" s="14"/>
      <c r="U600" s="14"/>
      <c r="W600" s="14"/>
      <c r="X600" s="14"/>
      <c r="Y600" s="14"/>
    </row>
    <row r="601">
      <c r="H601" s="14"/>
      <c r="U601" s="14"/>
      <c r="W601" s="14"/>
      <c r="X601" s="14"/>
      <c r="Y601" s="14"/>
    </row>
    <row r="602">
      <c r="H602" s="14"/>
      <c r="U602" s="14"/>
      <c r="W602" s="14"/>
      <c r="X602" s="14"/>
      <c r="Y602" s="14"/>
    </row>
    <row r="603">
      <c r="H603" s="14"/>
      <c r="U603" s="14"/>
      <c r="W603" s="14"/>
      <c r="X603" s="14"/>
      <c r="Y603" s="14"/>
    </row>
    <row r="604">
      <c r="H604" s="14"/>
      <c r="U604" s="14"/>
      <c r="W604" s="14"/>
      <c r="X604" s="14"/>
      <c r="Y604" s="14"/>
    </row>
    <row r="605">
      <c r="H605" s="14"/>
      <c r="U605" s="14"/>
      <c r="W605" s="14"/>
      <c r="X605" s="14"/>
      <c r="Y605" s="14"/>
    </row>
    <row r="606">
      <c r="H606" s="14"/>
      <c r="U606" s="14"/>
      <c r="W606" s="14"/>
      <c r="X606" s="14"/>
      <c r="Y606" s="14"/>
    </row>
    <row r="607">
      <c r="H607" s="14"/>
      <c r="U607" s="14"/>
      <c r="W607" s="14"/>
      <c r="X607" s="14"/>
      <c r="Y607" s="14"/>
    </row>
    <row r="608">
      <c r="H608" s="14"/>
      <c r="U608" s="14"/>
      <c r="W608" s="14"/>
      <c r="X608" s="14"/>
      <c r="Y608" s="14"/>
    </row>
    <row r="609">
      <c r="H609" s="14"/>
      <c r="U609" s="14"/>
      <c r="W609" s="14"/>
      <c r="X609" s="14"/>
      <c r="Y609" s="14"/>
    </row>
    <row r="610">
      <c r="H610" s="14"/>
      <c r="U610" s="14"/>
      <c r="W610" s="14"/>
      <c r="X610" s="14"/>
      <c r="Y610" s="14"/>
    </row>
    <row r="611">
      <c r="H611" s="14"/>
      <c r="U611" s="14"/>
      <c r="W611" s="14"/>
      <c r="X611" s="14"/>
      <c r="Y611" s="14"/>
    </row>
    <row r="612">
      <c r="H612" s="14"/>
      <c r="U612" s="14"/>
      <c r="W612" s="14"/>
      <c r="X612" s="14"/>
      <c r="Y612" s="14"/>
    </row>
    <row r="613">
      <c r="H613" s="14"/>
      <c r="U613" s="14"/>
      <c r="W613" s="14"/>
      <c r="X613" s="14"/>
      <c r="Y613" s="14"/>
    </row>
    <row r="614">
      <c r="H614" s="14"/>
      <c r="U614" s="14"/>
      <c r="W614" s="14"/>
      <c r="X614" s="14"/>
      <c r="Y614" s="14"/>
    </row>
    <row r="615">
      <c r="H615" s="14"/>
      <c r="U615" s="14"/>
      <c r="W615" s="14"/>
      <c r="X615" s="14"/>
      <c r="Y615" s="14"/>
    </row>
    <row r="616">
      <c r="H616" s="14"/>
      <c r="U616" s="14"/>
      <c r="W616" s="14"/>
      <c r="X616" s="14"/>
      <c r="Y616" s="14"/>
    </row>
    <row r="617">
      <c r="H617" s="14"/>
      <c r="U617" s="14"/>
      <c r="W617" s="14"/>
      <c r="X617" s="14"/>
      <c r="Y617" s="14"/>
    </row>
    <row r="618">
      <c r="H618" s="14"/>
      <c r="U618" s="14"/>
      <c r="W618" s="14"/>
      <c r="X618" s="14"/>
      <c r="Y618" s="14"/>
    </row>
    <row r="619">
      <c r="H619" s="14"/>
      <c r="U619" s="14"/>
      <c r="W619" s="14"/>
      <c r="X619" s="14"/>
      <c r="Y619" s="14"/>
    </row>
    <row r="620">
      <c r="H620" s="14"/>
      <c r="U620" s="14"/>
      <c r="W620" s="14"/>
      <c r="X620" s="14"/>
      <c r="Y620" s="14"/>
    </row>
    <row r="621">
      <c r="H621" s="14"/>
      <c r="U621" s="14"/>
      <c r="W621" s="14"/>
      <c r="X621" s="14"/>
      <c r="Y621" s="14"/>
    </row>
    <row r="622">
      <c r="H622" s="14"/>
      <c r="U622" s="14"/>
      <c r="W622" s="14"/>
      <c r="X622" s="14"/>
      <c r="Y622" s="14"/>
    </row>
    <row r="623">
      <c r="H623" s="14"/>
      <c r="U623" s="14"/>
      <c r="W623" s="14"/>
      <c r="X623" s="14"/>
      <c r="Y623" s="14"/>
    </row>
    <row r="624">
      <c r="H624" s="14"/>
      <c r="U624" s="14"/>
      <c r="W624" s="14"/>
      <c r="X624" s="14"/>
      <c r="Y624" s="14"/>
    </row>
    <row r="625">
      <c r="H625" s="14"/>
      <c r="U625" s="14"/>
      <c r="W625" s="14"/>
      <c r="X625" s="14"/>
      <c r="Y625" s="14"/>
    </row>
    <row r="626">
      <c r="H626" s="14"/>
      <c r="U626" s="14"/>
      <c r="W626" s="14"/>
      <c r="X626" s="14"/>
      <c r="Y626" s="14"/>
    </row>
    <row r="627">
      <c r="H627" s="14"/>
      <c r="U627" s="14"/>
      <c r="W627" s="14"/>
      <c r="X627" s="14"/>
      <c r="Y627" s="14"/>
    </row>
    <row r="628">
      <c r="H628" s="14"/>
      <c r="U628" s="14"/>
      <c r="W628" s="14"/>
      <c r="X628" s="14"/>
      <c r="Y628" s="14"/>
    </row>
    <row r="629">
      <c r="H629" s="14"/>
      <c r="U629" s="14"/>
      <c r="W629" s="14"/>
      <c r="X629" s="14"/>
      <c r="Y629" s="14"/>
    </row>
    <row r="630">
      <c r="H630" s="14"/>
      <c r="U630" s="14"/>
      <c r="W630" s="14"/>
      <c r="X630" s="14"/>
      <c r="Y630" s="14"/>
    </row>
    <row r="631">
      <c r="H631" s="14"/>
      <c r="U631" s="14"/>
      <c r="W631" s="14"/>
      <c r="X631" s="14"/>
      <c r="Y631" s="14"/>
    </row>
    <row r="632">
      <c r="H632" s="14"/>
      <c r="U632" s="14"/>
      <c r="W632" s="14"/>
      <c r="X632" s="14"/>
      <c r="Y632" s="14"/>
    </row>
    <row r="633">
      <c r="H633" s="14"/>
      <c r="U633" s="14"/>
      <c r="W633" s="14"/>
      <c r="X633" s="14"/>
      <c r="Y633" s="14"/>
    </row>
    <row r="634">
      <c r="H634" s="14"/>
      <c r="U634" s="14"/>
      <c r="W634" s="14"/>
      <c r="X634" s="14"/>
      <c r="Y634" s="14"/>
    </row>
    <row r="635">
      <c r="H635" s="14"/>
      <c r="U635" s="14"/>
      <c r="W635" s="14"/>
      <c r="X635" s="14"/>
      <c r="Y635" s="14"/>
    </row>
    <row r="636">
      <c r="H636" s="14"/>
      <c r="U636" s="14"/>
      <c r="W636" s="14"/>
      <c r="X636" s="14"/>
      <c r="Y636" s="14"/>
    </row>
    <row r="637">
      <c r="H637" s="14"/>
      <c r="U637" s="14"/>
      <c r="W637" s="14"/>
      <c r="X637" s="14"/>
      <c r="Y637" s="14"/>
    </row>
    <row r="638">
      <c r="H638" s="14"/>
      <c r="U638" s="14"/>
      <c r="W638" s="14"/>
      <c r="X638" s="14"/>
      <c r="Y638" s="14"/>
    </row>
    <row r="639">
      <c r="H639" s="14"/>
      <c r="U639" s="14"/>
      <c r="W639" s="14"/>
      <c r="X639" s="14"/>
      <c r="Y639" s="14"/>
    </row>
    <row r="640">
      <c r="H640" s="14"/>
      <c r="U640" s="14"/>
      <c r="W640" s="14"/>
      <c r="X640" s="14"/>
      <c r="Y640" s="14"/>
    </row>
    <row r="641">
      <c r="H641" s="14"/>
      <c r="U641" s="14"/>
      <c r="W641" s="14"/>
      <c r="X641" s="14"/>
      <c r="Y641" s="14"/>
    </row>
    <row r="642">
      <c r="H642" s="14"/>
      <c r="U642" s="14"/>
      <c r="W642" s="14"/>
      <c r="X642" s="14"/>
      <c r="Y642" s="14"/>
    </row>
    <row r="643">
      <c r="H643" s="14"/>
      <c r="U643" s="14"/>
      <c r="W643" s="14"/>
      <c r="X643" s="14"/>
      <c r="Y643" s="14"/>
    </row>
    <row r="644">
      <c r="H644" s="14"/>
      <c r="U644" s="14"/>
      <c r="W644" s="14"/>
      <c r="X644" s="14"/>
      <c r="Y644" s="14"/>
    </row>
    <row r="645">
      <c r="H645" s="14"/>
      <c r="U645" s="14"/>
      <c r="W645" s="14"/>
      <c r="X645" s="14"/>
      <c r="Y645" s="14"/>
    </row>
    <row r="646">
      <c r="H646" s="14"/>
      <c r="U646" s="14"/>
      <c r="W646" s="14"/>
      <c r="X646" s="14"/>
      <c r="Y646" s="14"/>
    </row>
    <row r="647">
      <c r="H647" s="14"/>
      <c r="U647" s="14"/>
      <c r="W647" s="14"/>
      <c r="X647" s="14"/>
      <c r="Y647" s="14"/>
    </row>
    <row r="648">
      <c r="H648" s="14"/>
      <c r="U648" s="14"/>
      <c r="W648" s="14"/>
      <c r="X648" s="14"/>
      <c r="Y648" s="14"/>
    </row>
    <row r="649">
      <c r="H649" s="14"/>
      <c r="U649" s="14"/>
      <c r="W649" s="14"/>
      <c r="X649" s="14"/>
      <c r="Y649" s="14"/>
    </row>
    <row r="650">
      <c r="H650" s="14"/>
      <c r="U650" s="14"/>
      <c r="W650" s="14"/>
      <c r="X650" s="14"/>
      <c r="Y650" s="14"/>
    </row>
    <row r="651">
      <c r="H651" s="14"/>
      <c r="U651" s="14"/>
      <c r="W651" s="14"/>
      <c r="X651" s="14"/>
      <c r="Y651" s="14"/>
    </row>
    <row r="652">
      <c r="H652" s="14"/>
      <c r="U652" s="14"/>
      <c r="W652" s="14"/>
      <c r="X652" s="14"/>
      <c r="Y652" s="14"/>
    </row>
    <row r="653">
      <c r="H653" s="14"/>
      <c r="U653" s="14"/>
      <c r="W653" s="14"/>
      <c r="X653" s="14"/>
      <c r="Y653" s="14"/>
    </row>
    <row r="654">
      <c r="H654" s="14"/>
      <c r="U654" s="14"/>
      <c r="W654" s="14"/>
      <c r="X654" s="14"/>
      <c r="Y654" s="14"/>
    </row>
    <row r="655">
      <c r="H655" s="14"/>
      <c r="U655" s="14"/>
      <c r="W655" s="14"/>
      <c r="X655" s="14"/>
      <c r="Y655" s="14"/>
    </row>
    <row r="656">
      <c r="H656" s="14"/>
      <c r="U656" s="14"/>
      <c r="W656" s="14"/>
      <c r="X656" s="14"/>
      <c r="Y656" s="14"/>
    </row>
    <row r="657">
      <c r="H657" s="14"/>
      <c r="U657" s="14"/>
      <c r="W657" s="14"/>
      <c r="X657" s="14"/>
      <c r="Y657" s="14"/>
    </row>
    <row r="658">
      <c r="H658" s="14"/>
      <c r="U658" s="14"/>
      <c r="W658" s="14"/>
      <c r="X658" s="14"/>
      <c r="Y658" s="14"/>
    </row>
    <row r="659">
      <c r="H659" s="14"/>
      <c r="U659" s="14"/>
      <c r="W659" s="14"/>
      <c r="X659" s="14"/>
      <c r="Y659" s="14"/>
    </row>
    <row r="660">
      <c r="H660" s="14"/>
      <c r="U660" s="14"/>
      <c r="W660" s="14"/>
      <c r="X660" s="14"/>
      <c r="Y660" s="14"/>
    </row>
    <row r="661">
      <c r="H661" s="14"/>
      <c r="U661" s="14"/>
      <c r="W661" s="14"/>
      <c r="X661" s="14"/>
      <c r="Y661" s="14"/>
    </row>
    <row r="662">
      <c r="H662" s="14"/>
      <c r="U662" s="14"/>
      <c r="W662" s="14"/>
      <c r="X662" s="14"/>
      <c r="Y662" s="14"/>
    </row>
    <row r="663">
      <c r="H663" s="14"/>
      <c r="U663" s="14"/>
      <c r="W663" s="14"/>
      <c r="X663" s="14"/>
      <c r="Y663" s="14"/>
    </row>
    <row r="664">
      <c r="H664" s="14"/>
      <c r="U664" s="14"/>
      <c r="W664" s="14"/>
      <c r="X664" s="14"/>
      <c r="Y664" s="14"/>
    </row>
    <row r="665">
      <c r="H665" s="14"/>
      <c r="U665" s="14"/>
      <c r="W665" s="14"/>
      <c r="X665" s="14"/>
      <c r="Y665" s="14"/>
    </row>
    <row r="666">
      <c r="H666" s="14"/>
      <c r="U666" s="14"/>
      <c r="W666" s="14"/>
      <c r="X666" s="14"/>
      <c r="Y666" s="14"/>
    </row>
    <row r="667">
      <c r="H667" s="14"/>
      <c r="U667" s="14"/>
      <c r="W667" s="14"/>
      <c r="X667" s="14"/>
      <c r="Y667" s="14"/>
    </row>
    <row r="668">
      <c r="H668" s="14"/>
      <c r="U668" s="14"/>
      <c r="W668" s="14"/>
      <c r="X668" s="14"/>
      <c r="Y668" s="14"/>
    </row>
    <row r="669">
      <c r="H669" s="14"/>
      <c r="U669" s="14"/>
      <c r="W669" s="14"/>
      <c r="X669" s="14"/>
      <c r="Y669" s="14"/>
    </row>
    <row r="670">
      <c r="H670" s="14"/>
      <c r="U670" s="14"/>
      <c r="W670" s="14"/>
      <c r="X670" s="14"/>
      <c r="Y670" s="14"/>
    </row>
    <row r="671">
      <c r="H671" s="14"/>
      <c r="U671" s="14"/>
      <c r="W671" s="14"/>
      <c r="X671" s="14"/>
      <c r="Y671" s="14"/>
    </row>
    <row r="672">
      <c r="H672" s="14"/>
      <c r="U672" s="14"/>
      <c r="W672" s="14"/>
      <c r="X672" s="14"/>
      <c r="Y672" s="14"/>
    </row>
    <row r="673">
      <c r="H673" s="14"/>
      <c r="U673" s="14"/>
      <c r="W673" s="14"/>
      <c r="X673" s="14"/>
      <c r="Y673" s="14"/>
    </row>
    <row r="674">
      <c r="H674" s="14"/>
      <c r="U674" s="14"/>
      <c r="W674" s="14"/>
      <c r="X674" s="14"/>
      <c r="Y674" s="14"/>
    </row>
    <row r="675">
      <c r="H675" s="14"/>
      <c r="U675" s="14"/>
      <c r="W675" s="14"/>
      <c r="X675" s="14"/>
      <c r="Y675" s="14"/>
    </row>
    <row r="676">
      <c r="H676" s="14"/>
      <c r="U676" s="14"/>
      <c r="W676" s="14"/>
      <c r="X676" s="14"/>
      <c r="Y676" s="14"/>
    </row>
    <row r="677">
      <c r="H677" s="14"/>
      <c r="U677" s="14"/>
      <c r="W677" s="14"/>
      <c r="X677" s="14"/>
      <c r="Y677" s="14"/>
    </row>
    <row r="678">
      <c r="H678" s="14"/>
      <c r="U678" s="14"/>
      <c r="W678" s="14"/>
      <c r="X678" s="14"/>
      <c r="Y678" s="14"/>
    </row>
    <row r="679">
      <c r="H679" s="14"/>
      <c r="U679" s="14"/>
      <c r="W679" s="14"/>
      <c r="X679" s="14"/>
      <c r="Y679" s="14"/>
    </row>
    <row r="680">
      <c r="H680" s="14"/>
      <c r="U680" s="14"/>
      <c r="W680" s="14"/>
      <c r="X680" s="14"/>
      <c r="Y680" s="14"/>
    </row>
    <row r="681">
      <c r="H681" s="14"/>
      <c r="U681" s="14"/>
      <c r="W681" s="14"/>
      <c r="X681" s="14"/>
      <c r="Y681" s="14"/>
    </row>
    <row r="682">
      <c r="H682" s="14"/>
      <c r="U682" s="14"/>
      <c r="W682" s="14"/>
      <c r="X682" s="14"/>
      <c r="Y682" s="14"/>
    </row>
    <row r="683">
      <c r="H683" s="14"/>
      <c r="U683" s="14"/>
      <c r="W683" s="14"/>
      <c r="X683" s="14"/>
      <c r="Y683" s="14"/>
    </row>
    <row r="684">
      <c r="H684" s="14"/>
      <c r="U684" s="14"/>
      <c r="W684" s="14"/>
      <c r="X684" s="14"/>
      <c r="Y684" s="14"/>
    </row>
    <row r="685">
      <c r="H685" s="14"/>
      <c r="U685" s="14"/>
      <c r="W685" s="14"/>
      <c r="X685" s="14"/>
      <c r="Y685" s="14"/>
    </row>
    <row r="686">
      <c r="H686" s="14"/>
      <c r="U686" s="14"/>
      <c r="W686" s="14"/>
      <c r="X686" s="14"/>
      <c r="Y686" s="14"/>
    </row>
    <row r="687">
      <c r="H687" s="14"/>
      <c r="U687" s="14"/>
      <c r="W687" s="14"/>
      <c r="X687" s="14"/>
      <c r="Y687" s="14"/>
    </row>
    <row r="688">
      <c r="H688" s="14"/>
      <c r="U688" s="14"/>
      <c r="W688" s="14"/>
      <c r="X688" s="14"/>
      <c r="Y688" s="14"/>
    </row>
    <row r="689">
      <c r="H689" s="14"/>
      <c r="U689" s="14"/>
      <c r="W689" s="14"/>
      <c r="X689" s="14"/>
      <c r="Y689" s="14"/>
    </row>
    <row r="690">
      <c r="H690" s="14"/>
      <c r="U690" s="14"/>
      <c r="W690" s="14"/>
      <c r="X690" s="14"/>
      <c r="Y690" s="14"/>
    </row>
    <row r="691">
      <c r="H691" s="14"/>
      <c r="U691" s="14"/>
      <c r="W691" s="14"/>
      <c r="X691" s="14"/>
      <c r="Y691" s="14"/>
    </row>
    <row r="692">
      <c r="H692" s="14"/>
      <c r="U692" s="14"/>
      <c r="W692" s="14"/>
      <c r="X692" s="14"/>
      <c r="Y692" s="14"/>
    </row>
    <row r="693">
      <c r="H693" s="14"/>
      <c r="U693" s="14"/>
      <c r="W693" s="14"/>
      <c r="X693" s="14"/>
      <c r="Y693" s="14"/>
    </row>
    <row r="694">
      <c r="H694" s="14"/>
      <c r="U694" s="14"/>
      <c r="W694" s="14"/>
      <c r="X694" s="14"/>
      <c r="Y694" s="14"/>
    </row>
    <row r="695">
      <c r="H695" s="14"/>
      <c r="U695" s="14"/>
      <c r="W695" s="14"/>
      <c r="X695" s="14"/>
      <c r="Y695" s="14"/>
    </row>
    <row r="696">
      <c r="H696" s="14"/>
      <c r="U696" s="14"/>
      <c r="W696" s="14"/>
      <c r="X696" s="14"/>
      <c r="Y696" s="14"/>
    </row>
    <row r="697">
      <c r="H697" s="14"/>
      <c r="U697" s="14"/>
      <c r="W697" s="14"/>
      <c r="X697" s="14"/>
      <c r="Y697" s="14"/>
    </row>
    <row r="698">
      <c r="H698" s="14"/>
      <c r="U698" s="14"/>
      <c r="W698" s="14"/>
      <c r="X698" s="14"/>
      <c r="Y698" s="14"/>
    </row>
    <row r="699">
      <c r="H699" s="14"/>
      <c r="U699" s="14"/>
      <c r="W699" s="14"/>
      <c r="X699" s="14"/>
      <c r="Y699" s="14"/>
    </row>
    <row r="700">
      <c r="H700" s="14"/>
      <c r="U700" s="14"/>
      <c r="W700" s="14"/>
      <c r="X700" s="14"/>
      <c r="Y700" s="14"/>
    </row>
    <row r="701">
      <c r="H701" s="14"/>
      <c r="U701" s="14"/>
      <c r="W701" s="14"/>
      <c r="X701" s="14"/>
      <c r="Y701" s="14"/>
    </row>
    <row r="702">
      <c r="H702" s="14"/>
      <c r="U702" s="14"/>
      <c r="W702" s="14"/>
      <c r="X702" s="14"/>
      <c r="Y702" s="14"/>
    </row>
    <row r="703">
      <c r="H703" s="14"/>
      <c r="U703" s="14"/>
      <c r="W703" s="14"/>
      <c r="X703" s="14"/>
      <c r="Y703" s="14"/>
    </row>
    <row r="704">
      <c r="H704" s="14"/>
      <c r="U704" s="14"/>
      <c r="W704" s="14"/>
      <c r="X704" s="14"/>
      <c r="Y704" s="14"/>
    </row>
    <row r="705">
      <c r="H705" s="14"/>
      <c r="U705" s="14"/>
      <c r="W705" s="14"/>
      <c r="X705" s="14"/>
      <c r="Y705" s="14"/>
    </row>
    <row r="706">
      <c r="H706" s="14"/>
      <c r="U706" s="14"/>
      <c r="W706" s="14"/>
      <c r="X706" s="14"/>
      <c r="Y706" s="14"/>
    </row>
    <row r="707">
      <c r="H707" s="14"/>
      <c r="U707" s="14"/>
      <c r="W707" s="14"/>
      <c r="X707" s="14"/>
      <c r="Y707" s="14"/>
    </row>
    <row r="708">
      <c r="H708" s="14"/>
      <c r="U708" s="14"/>
      <c r="W708" s="14"/>
      <c r="X708" s="14"/>
      <c r="Y708" s="14"/>
    </row>
    <row r="709">
      <c r="H709" s="14"/>
      <c r="U709" s="14"/>
      <c r="W709" s="14"/>
      <c r="X709" s="14"/>
      <c r="Y709" s="14"/>
    </row>
    <row r="710">
      <c r="H710" s="14"/>
      <c r="U710" s="14"/>
      <c r="W710" s="14"/>
      <c r="X710" s="14"/>
      <c r="Y710" s="14"/>
    </row>
    <row r="711">
      <c r="H711" s="14"/>
      <c r="U711" s="14"/>
      <c r="W711" s="14"/>
      <c r="X711" s="14"/>
      <c r="Y711" s="14"/>
    </row>
    <row r="712">
      <c r="H712" s="14"/>
      <c r="U712" s="14"/>
      <c r="W712" s="14"/>
      <c r="X712" s="14"/>
      <c r="Y712" s="14"/>
    </row>
    <row r="713">
      <c r="H713" s="14"/>
      <c r="U713" s="14"/>
      <c r="W713" s="14"/>
      <c r="X713" s="14"/>
      <c r="Y713" s="14"/>
    </row>
    <row r="714">
      <c r="H714" s="14"/>
      <c r="U714" s="14"/>
      <c r="W714" s="14"/>
      <c r="X714" s="14"/>
      <c r="Y714" s="14"/>
    </row>
    <row r="715">
      <c r="H715" s="14"/>
      <c r="U715" s="14"/>
      <c r="W715" s="14"/>
      <c r="X715" s="14"/>
      <c r="Y715" s="14"/>
    </row>
    <row r="716">
      <c r="H716" s="14"/>
      <c r="U716" s="14"/>
      <c r="W716" s="14"/>
      <c r="X716" s="14"/>
      <c r="Y716" s="14"/>
    </row>
    <row r="717">
      <c r="H717" s="14"/>
      <c r="U717" s="14"/>
      <c r="W717" s="14"/>
      <c r="X717" s="14"/>
      <c r="Y717" s="14"/>
    </row>
    <row r="718">
      <c r="H718" s="14"/>
      <c r="U718" s="14"/>
      <c r="W718" s="14"/>
      <c r="X718" s="14"/>
      <c r="Y718" s="14"/>
    </row>
    <row r="719">
      <c r="H719" s="14"/>
      <c r="U719" s="14"/>
      <c r="W719" s="14"/>
      <c r="X719" s="14"/>
      <c r="Y719" s="14"/>
    </row>
    <row r="720">
      <c r="H720" s="14"/>
      <c r="U720" s="14"/>
      <c r="W720" s="14"/>
      <c r="X720" s="14"/>
      <c r="Y720" s="14"/>
    </row>
    <row r="721">
      <c r="H721" s="14"/>
      <c r="U721" s="14"/>
      <c r="W721" s="14"/>
      <c r="X721" s="14"/>
      <c r="Y721" s="14"/>
    </row>
    <row r="722">
      <c r="H722" s="14"/>
      <c r="U722" s="14"/>
      <c r="W722" s="14"/>
      <c r="X722" s="14"/>
      <c r="Y722" s="14"/>
    </row>
    <row r="723">
      <c r="H723" s="14"/>
      <c r="U723" s="14"/>
      <c r="W723" s="14"/>
      <c r="X723" s="14"/>
      <c r="Y723" s="14"/>
    </row>
    <row r="724">
      <c r="H724" s="14"/>
      <c r="U724" s="14"/>
      <c r="W724" s="14"/>
      <c r="X724" s="14"/>
      <c r="Y724" s="14"/>
    </row>
    <row r="725">
      <c r="H725" s="14"/>
      <c r="U725" s="14"/>
      <c r="W725" s="14"/>
      <c r="X725" s="14"/>
      <c r="Y725" s="14"/>
    </row>
    <row r="726">
      <c r="H726" s="14"/>
      <c r="U726" s="14"/>
      <c r="W726" s="14"/>
      <c r="X726" s="14"/>
      <c r="Y726" s="14"/>
    </row>
    <row r="727">
      <c r="H727" s="14"/>
      <c r="U727" s="14"/>
      <c r="W727" s="14"/>
      <c r="X727" s="14"/>
      <c r="Y727" s="14"/>
    </row>
    <row r="728">
      <c r="H728" s="14"/>
      <c r="U728" s="14"/>
      <c r="W728" s="14"/>
      <c r="X728" s="14"/>
      <c r="Y728" s="14"/>
    </row>
    <row r="729">
      <c r="H729" s="14"/>
      <c r="U729" s="14"/>
      <c r="W729" s="14"/>
      <c r="X729" s="14"/>
      <c r="Y729" s="14"/>
    </row>
    <row r="730">
      <c r="H730" s="14"/>
      <c r="U730" s="14"/>
      <c r="W730" s="14"/>
      <c r="X730" s="14"/>
      <c r="Y730" s="14"/>
    </row>
    <row r="731">
      <c r="H731" s="14"/>
      <c r="U731" s="14"/>
      <c r="W731" s="14"/>
      <c r="X731" s="14"/>
      <c r="Y731" s="14"/>
    </row>
    <row r="732">
      <c r="H732" s="14"/>
      <c r="U732" s="14"/>
      <c r="W732" s="14"/>
      <c r="X732" s="14"/>
      <c r="Y732" s="14"/>
    </row>
    <row r="733">
      <c r="H733" s="14"/>
      <c r="U733" s="14"/>
      <c r="W733" s="14"/>
      <c r="X733" s="14"/>
      <c r="Y733" s="14"/>
    </row>
    <row r="734">
      <c r="H734" s="14"/>
      <c r="U734" s="14"/>
      <c r="W734" s="14"/>
      <c r="X734" s="14"/>
      <c r="Y734" s="14"/>
    </row>
    <row r="735">
      <c r="H735" s="14"/>
      <c r="U735" s="14"/>
      <c r="W735" s="14"/>
      <c r="X735" s="14"/>
      <c r="Y735" s="14"/>
    </row>
    <row r="736">
      <c r="H736" s="14"/>
      <c r="U736" s="14"/>
      <c r="W736" s="14"/>
      <c r="X736" s="14"/>
      <c r="Y736" s="14"/>
    </row>
    <row r="737">
      <c r="H737" s="14"/>
      <c r="U737" s="14"/>
      <c r="W737" s="14"/>
      <c r="X737" s="14"/>
      <c r="Y737" s="14"/>
    </row>
    <row r="738">
      <c r="H738" s="14"/>
      <c r="U738" s="14"/>
      <c r="W738" s="14"/>
      <c r="X738" s="14"/>
      <c r="Y738" s="14"/>
    </row>
    <row r="739">
      <c r="H739" s="14"/>
      <c r="U739" s="14"/>
      <c r="W739" s="14"/>
      <c r="X739" s="14"/>
      <c r="Y739" s="14"/>
    </row>
    <row r="740">
      <c r="H740" s="14"/>
      <c r="U740" s="14"/>
      <c r="W740" s="14"/>
      <c r="X740" s="14"/>
      <c r="Y740" s="14"/>
    </row>
    <row r="741">
      <c r="H741" s="14"/>
      <c r="U741" s="14"/>
      <c r="W741" s="14"/>
      <c r="X741" s="14"/>
      <c r="Y741" s="14"/>
    </row>
    <row r="742">
      <c r="H742" s="14"/>
      <c r="U742" s="14"/>
      <c r="W742" s="14"/>
      <c r="X742" s="14"/>
      <c r="Y742" s="14"/>
    </row>
    <row r="743">
      <c r="H743" s="14"/>
      <c r="U743" s="14"/>
      <c r="W743" s="14"/>
      <c r="X743" s="14"/>
      <c r="Y743" s="14"/>
    </row>
    <row r="744">
      <c r="H744" s="14"/>
      <c r="U744" s="14"/>
      <c r="W744" s="14"/>
      <c r="X744" s="14"/>
      <c r="Y744" s="14"/>
    </row>
    <row r="745">
      <c r="H745" s="14"/>
      <c r="U745" s="14"/>
      <c r="W745" s="14"/>
      <c r="X745" s="14"/>
      <c r="Y745" s="14"/>
    </row>
    <row r="746">
      <c r="H746" s="14"/>
      <c r="U746" s="14"/>
      <c r="W746" s="14"/>
      <c r="X746" s="14"/>
      <c r="Y746" s="14"/>
    </row>
    <row r="747">
      <c r="H747" s="14"/>
      <c r="U747" s="14"/>
      <c r="W747" s="14"/>
      <c r="X747" s="14"/>
      <c r="Y747" s="14"/>
    </row>
    <row r="748">
      <c r="H748" s="14"/>
      <c r="U748" s="14"/>
      <c r="W748" s="14"/>
      <c r="X748" s="14"/>
      <c r="Y748" s="14"/>
    </row>
    <row r="749">
      <c r="H749" s="14"/>
      <c r="U749" s="14"/>
      <c r="W749" s="14"/>
      <c r="X749" s="14"/>
      <c r="Y749" s="14"/>
    </row>
    <row r="750">
      <c r="H750" s="14"/>
      <c r="U750" s="14"/>
      <c r="W750" s="14"/>
      <c r="X750" s="14"/>
      <c r="Y750" s="14"/>
    </row>
    <row r="751">
      <c r="H751" s="14"/>
      <c r="U751" s="14"/>
      <c r="W751" s="14"/>
      <c r="X751" s="14"/>
      <c r="Y751" s="14"/>
    </row>
    <row r="752">
      <c r="H752" s="14"/>
      <c r="U752" s="14"/>
      <c r="W752" s="14"/>
      <c r="X752" s="14"/>
      <c r="Y752" s="14"/>
    </row>
    <row r="753">
      <c r="H753" s="14"/>
      <c r="U753" s="14"/>
      <c r="W753" s="14"/>
      <c r="X753" s="14"/>
      <c r="Y753" s="14"/>
    </row>
    <row r="754">
      <c r="H754" s="14"/>
      <c r="U754" s="14"/>
      <c r="W754" s="14"/>
      <c r="X754" s="14"/>
      <c r="Y754" s="14"/>
    </row>
    <row r="755">
      <c r="H755" s="14"/>
      <c r="U755" s="14"/>
      <c r="W755" s="14"/>
      <c r="X755" s="14"/>
      <c r="Y755" s="14"/>
    </row>
    <row r="756">
      <c r="H756" s="14"/>
      <c r="U756" s="14"/>
      <c r="W756" s="14"/>
      <c r="X756" s="14"/>
      <c r="Y756" s="14"/>
    </row>
    <row r="757">
      <c r="H757" s="14"/>
      <c r="U757" s="14"/>
      <c r="W757" s="14"/>
      <c r="X757" s="14"/>
      <c r="Y757" s="14"/>
    </row>
    <row r="758">
      <c r="H758" s="14"/>
      <c r="U758" s="14"/>
      <c r="W758" s="14"/>
      <c r="X758" s="14"/>
      <c r="Y758" s="14"/>
    </row>
    <row r="759">
      <c r="H759" s="14"/>
      <c r="U759" s="14"/>
      <c r="W759" s="14"/>
      <c r="X759" s="14"/>
      <c r="Y759" s="14"/>
    </row>
    <row r="760">
      <c r="H760" s="14"/>
      <c r="U760" s="14"/>
      <c r="W760" s="14"/>
      <c r="X760" s="14"/>
      <c r="Y760" s="14"/>
    </row>
    <row r="761">
      <c r="H761" s="14"/>
      <c r="U761" s="14"/>
      <c r="W761" s="14"/>
      <c r="X761" s="14"/>
      <c r="Y761" s="14"/>
    </row>
    <row r="762">
      <c r="H762" s="14"/>
      <c r="U762" s="14"/>
      <c r="W762" s="14"/>
      <c r="X762" s="14"/>
      <c r="Y762" s="14"/>
    </row>
    <row r="763">
      <c r="H763" s="14"/>
      <c r="U763" s="14"/>
      <c r="W763" s="14"/>
      <c r="X763" s="14"/>
      <c r="Y763" s="14"/>
    </row>
    <row r="764">
      <c r="H764" s="14"/>
      <c r="U764" s="14"/>
      <c r="W764" s="14"/>
      <c r="X764" s="14"/>
      <c r="Y764" s="14"/>
    </row>
    <row r="765">
      <c r="H765" s="14"/>
      <c r="U765" s="14"/>
      <c r="W765" s="14"/>
      <c r="X765" s="14"/>
      <c r="Y765" s="14"/>
    </row>
    <row r="766">
      <c r="H766" s="14"/>
      <c r="U766" s="14"/>
      <c r="W766" s="14"/>
      <c r="X766" s="14"/>
      <c r="Y766" s="14"/>
    </row>
    <row r="767">
      <c r="H767" s="14"/>
      <c r="U767" s="14"/>
      <c r="W767" s="14"/>
      <c r="X767" s="14"/>
      <c r="Y767" s="14"/>
    </row>
    <row r="768">
      <c r="H768" s="14"/>
      <c r="U768" s="14"/>
      <c r="W768" s="14"/>
      <c r="X768" s="14"/>
      <c r="Y768" s="14"/>
    </row>
    <row r="769">
      <c r="H769" s="14"/>
      <c r="U769" s="14"/>
      <c r="W769" s="14"/>
      <c r="X769" s="14"/>
      <c r="Y769" s="14"/>
    </row>
    <row r="770">
      <c r="H770" s="14"/>
      <c r="U770" s="14"/>
      <c r="W770" s="14"/>
      <c r="X770" s="14"/>
      <c r="Y770" s="14"/>
    </row>
    <row r="771">
      <c r="H771" s="14"/>
      <c r="U771" s="14"/>
      <c r="W771" s="14"/>
      <c r="X771" s="14"/>
      <c r="Y771" s="14"/>
    </row>
    <row r="772">
      <c r="H772" s="14"/>
      <c r="U772" s="14"/>
      <c r="W772" s="14"/>
      <c r="X772" s="14"/>
      <c r="Y772" s="14"/>
    </row>
    <row r="773">
      <c r="H773" s="14"/>
      <c r="U773" s="14"/>
      <c r="W773" s="14"/>
      <c r="X773" s="14"/>
      <c r="Y773" s="14"/>
    </row>
    <row r="774">
      <c r="H774" s="14"/>
      <c r="U774" s="14"/>
      <c r="W774" s="14"/>
      <c r="X774" s="14"/>
      <c r="Y774" s="14"/>
    </row>
    <row r="775">
      <c r="H775" s="14"/>
      <c r="U775" s="14"/>
      <c r="W775" s="14"/>
      <c r="X775" s="14"/>
      <c r="Y775" s="14"/>
    </row>
    <row r="776">
      <c r="H776" s="14"/>
      <c r="U776" s="14"/>
      <c r="W776" s="14"/>
      <c r="X776" s="14"/>
      <c r="Y776" s="14"/>
    </row>
    <row r="777">
      <c r="H777" s="14"/>
      <c r="U777" s="14"/>
      <c r="W777" s="14"/>
      <c r="X777" s="14"/>
      <c r="Y777" s="14"/>
    </row>
    <row r="778">
      <c r="H778" s="14"/>
      <c r="U778" s="14"/>
      <c r="W778" s="14"/>
      <c r="X778" s="14"/>
      <c r="Y778" s="14"/>
    </row>
    <row r="779">
      <c r="H779" s="14"/>
      <c r="U779" s="14"/>
      <c r="W779" s="14"/>
      <c r="X779" s="14"/>
      <c r="Y779" s="14"/>
    </row>
    <row r="780">
      <c r="H780" s="14"/>
      <c r="U780" s="14"/>
      <c r="W780" s="14"/>
      <c r="X780" s="14"/>
      <c r="Y780" s="14"/>
    </row>
    <row r="781">
      <c r="H781" s="14"/>
      <c r="U781" s="14"/>
      <c r="W781" s="14"/>
      <c r="X781" s="14"/>
      <c r="Y781" s="14"/>
    </row>
    <row r="782">
      <c r="H782" s="14"/>
      <c r="U782" s="14"/>
      <c r="W782" s="14"/>
      <c r="X782" s="14"/>
      <c r="Y782" s="14"/>
    </row>
    <row r="783">
      <c r="H783" s="14"/>
      <c r="U783" s="14"/>
      <c r="W783" s="14"/>
      <c r="X783" s="14"/>
      <c r="Y783" s="14"/>
    </row>
    <row r="784">
      <c r="H784" s="14"/>
      <c r="U784" s="14"/>
      <c r="W784" s="14"/>
      <c r="X784" s="14"/>
      <c r="Y784" s="14"/>
    </row>
    <row r="785">
      <c r="H785" s="14"/>
      <c r="U785" s="14"/>
      <c r="W785" s="14"/>
      <c r="X785" s="14"/>
      <c r="Y785" s="14"/>
    </row>
    <row r="786">
      <c r="H786" s="14"/>
      <c r="U786" s="14"/>
      <c r="W786" s="14"/>
      <c r="X786" s="14"/>
      <c r="Y786" s="14"/>
    </row>
    <row r="787">
      <c r="H787" s="14"/>
      <c r="U787" s="14"/>
      <c r="W787" s="14"/>
      <c r="X787" s="14"/>
      <c r="Y787" s="14"/>
    </row>
    <row r="788">
      <c r="H788" s="14"/>
      <c r="U788" s="14"/>
      <c r="W788" s="14"/>
      <c r="X788" s="14"/>
      <c r="Y788" s="14"/>
    </row>
    <row r="789">
      <c r="H789" s="14"/>
      <c r="U789" s="14"/>
      <c r="W789" s="14"/>
      <c r="X789" s="14"/>
      <c r="Y789" s="14"/>
    </row>
    <row r="790">
      <c r="H790" s="14"/>
      <c r="U790" s="14"/>
      <c r="W790" s="14"/>
      <c r="X790" s="14"/>
      <c r="Y790" s="14"/>
    </row>
    <row r="791">
      <c r="H791" s="14"/>
      <c r="U791" s="14"/>
      <c r="W791" s="14"/>
      <c r="X791" s="14"/>
      <c r="Y791" s="14"/>
    </row>
    <row r="792">
      <c r="H792" s="14"/>
      <c r="U792" s="14"/>
      <c r="W792" s="14"/>
      <c r="X792" s="14"/>
      <c r="Y792" s="14"/>
    </row>
    <row r="793">
      <c r="H793" s="14"/>
      <c r="U793" s="14"/>
      <c r="W793" s="14"/>
      <c r="X793" s="14"/>
      <c r="Y793" s="14"/>
    </row>
    <row r="794">
      <c r="H794" s="14"/>
      <c r="U794" s="14"/>
      <c r="W794" s="14"/>
      <c r="X794" s="14"/>
      <c r="Y794" s="14"/>
    </row>
    <row r="795">
      <c r="H795" s="14"/>
      <c r="U795" s="14"/>
      <c r="W795" s="14"/>
      <c r="X795" s="14"/>
      <c r="Y795" s="14"/>
    </row>
    <row r="796">
      <c r="H796" s="14"/>
      <c r="U796" s="14"/>
      <c r="W796" s="14"/>
      <c r="X796" s="14"/>
      <c r="Y796" s="14"/>
    </row>
    <row r="797">
      <c r="H797" s="14"/>
      <c r="U797" s="14"/>
      <c r="W797" s="14"/>
      <c r="X797" s="14"/>
      <c r="Y797" s="14"/>
    </row>
    <row r="798">
      <c r="H798" s="14"/>
      <c r="U798" s="14"/>
      <c r="W798" s="14"/>
      <c r="X798" s="14"/>
      <c r="Y798" s="14"/>
    </row>
    <row r="799">
      <c r="H799" s="14"/>
      <c r="U799" s="14"/>
      <c r="W799" s="14"/>
      <c r="X799" s="14"/>
      <c r="Y799" s="14"/>
    </row>
    <row r="800">
      <c r="H800" s="14"/>
      <c r="U800" s="14"/>
      <c r="W800" s="14"/>
      <c r="X800" s="14"/>
      <c r="Y800" s="14"/>
    </row>
    <row r="801">
      <c r="H801" s="14"/>
      <c r="U801" s="14"/>
      <c r="W801" s="14"/>
      <c r="X801" s="14"/>
      <c r="Y801" s="14"/>
    </row>
    <row r="802">
      <c r="H802" s="14"/>
      <c r="U802" s="14"/>
      <c r="W802" s="14"/>
      <c r="X802" s="14"/>
      <c r="Y802" s="14"/>
    </row>
    <row r="803">
      <c r="H803" s="14"/>
      <c r="U803" s="14"/>
      <c r="W803" s="14"/>
      <c r="X803" s="14"/>
      <c r="Y803" s="14"/>
    </row>
    <row r="804">
      <c r="H804" s="14"/>
      <c r="U804" s="14"/>
      <c r="W804" s="14"/>
      <c r="X804" s="14"/>
      <c r="Y804" s="14"/>
    </row>
    <row r="805">
      <c r="H805" s="14"/>
      <c r="U805" s="14"/>
      <c r="W805" s="14"/>
      <c r="X805" s="14"/>
      <c r="Y805" s="14"/>
    </row>
    <row r="806">
      <c r="H806" s="14"/>
      <c r="U806" s="14"/>
      <c r="W806" s="14"/>
      <c r="X806" s="14"/>
      <c r="Y806" s="14"/>
    </row>
    <row r="807">
      <c r="H807" s="14"/>
      <c r="U807" s="14"/>
      <c r="W807" s="14"/>
      <c r="X807" s="14"/>
      <c r="Y807" s="14"/>
    </row>
    <row r="808">
      <c r="H808" s="14"/>
      <c r="U808" s="14"/>
      <c r="W808" s="14"/>
      <c r="X808" s="14"/>
      <c r="Y808" s="14"/>
    </row>
    <row r="809">
      <c r="H809" s="14"/>
      <c r="U809" s="14"/>
      <c r="W809" s="14"/>
      <c r="X809" s="14"/>
      <c r="Y809" s="14"/>
    </row>
    <row r="810">
      <c r="H810" s="14"/>
      <c r="U810" s="14"/>
      <c r="W810" s="14"/>
      <c r="X810" s="14"/>
      <c r="Y810" s="14"/>
    </row>
    <row r="811">
      <c r="H811" s="14"/>
      <c r="U811" s="14"/>
      <c r="W811" s="14"/>
      <c r="X811" s="14"/>
      <c r="Y811" s="14"/>
    </row>
    <row r="812">
      <c r="H812" s="14"/>
      <c r="U812" s="14"/>
      <c r="W812" s="14"/>
      <c r="X812" s="14"/>
      <c r="Y812" s="14"/>
    </row>
    <row r="813">
      <c r="H813" s="14"/>
      <c r="U813" s="14"/>
      <c r="W813" s="14"/>
      <c r="X813" s="14"/>
      <c r="Y813" s="14"/>
    </row>
    <row r="814">
      <c r="H814" s="14"/>
      <c r="U814" s="14"/>
      <c r="W814" s="14"/>
      <c r="X814" s="14"/>
      <c r="Y814" s="14"/>
    </row>
    <row r="815">
      <c r="H815" s="14"/>
      <c r="U815" s="14"/>
      <c r="W815" s="14"/>
      <c r="X815" s="14"/>
      <c r="Y815" s="14"/>
    </row>
    <row r="816">
      <c r="H816" s="14"/>
      <c r="U816" s="14"/>
      <c r="W816" s="14"/>
      <c r="X816" s="14"/>
      <c r="Y816" s="14"/>
    </row>
    <row r="817">
      <c r="H817" s="14"/>
      <c r="U817" s="14"/>
      <c r="W817" s="14"/>
      <c r="X817" s="14"/>
      <c r="Y817" s="14"/>
    </row>
    <row r="818">
      <c r="H818" s="14"/>
      <c r="U818" s="14"/>
      <c r="W818" s="14"/>
      <c r="X818" s="14"/>
      <c r="Y818" s="14"/>
    </row>
    <row r="819">
      <c r="H819" s="14"/>
      <c r="U819" s="14"/>
      <c r="W819" s="14"/>
      <c r="X819" s="14"/>
      <c r="Y819" s="14"/>
    </row>
    <row r="820">
      <c r="H820" s="14"/>
      <c r="U820" s="14"/>
      <c r="W820" s="14"/>
      <c r="X820" s="14"/>
      <c r="Y820" s="14"/>
    </row>
    <row r="821">
      <c r="H821" s="14"/>
      <c r="U821" s="14"/>
      <c r="W821" s="14"/>
      <c r="X821" s="14"/>
      <c r="Y821" s="14"/>
    </row>
    <row r="822">
      <c r="H822" s="14"/>
      <c r="U822" s="14"/>
      <c r="W822" s="14"/>
      <c r="X822" s="14"/>
      <c r="Y822" s="14"/>
    </row>
    <row r="823">
      <c r="H823" s="14"/>
      <c r="U823" s="14"/>
      <c r="W823" s="14"/>
      <c r="X823" s="14"/>
      <c r="Y823" s="14"/>
    </row>
    <row r="824">
      <c r="H824" s="14"/>
      <c r="U824" s="14"/>
      <c r="W824" s="14"/>
      <c r="X824" s="14"/>
      <c r="Y824" s="14"/>
    </row>
    <row r="825">
      <c r="H825" s="14"/>
      <c r="U825" s="14"/>
      <c r="W825" s="14"/>
      <c r="X825" s="14"/>
      <c r="Y825" s="14"/>
    </row>
    <row r="826">
      <c r="H826" s="14"/>
      <c r="U826" s="14"/>
      <c r="W826" s="14"/>
      <c r="X826" s="14"/>
      <c r="Y826" s="14"/>
    </row>
    <row r="827">
      <c r="H827" s="14"/>
      <c r="U827" s="14"/>
      <c r="W827" s="14"/>
      <c r="X827" s="14"/>
      <c r="Y827" s="14"/>
    </row>
    <row r="828">
      <c r="H828" s="14"/>
      <c r="U828" s="14"/>
      <c r="W828" s="14"/>
      <c r="X828" s="14"/>
      <c r="Y828" s="14"/>
    </row>
    <row r="829">
      <c r="H829" s="14"/>
      <c r="U829" s="14"/>
      <c r="W829" s="14"/>
      <c r="X829" s="14"/>
      <c r="Y829" s="14"/>
    </row>
    <row r="830">
      <c r="H830" s="14"/>
      <c r="U830" s="14"/>
      <c r="W830" s="14"/>
      <c r="X830" s="14"/>
      <c r="Y830" s="14"/>
    </row>
    <row r="831">
      <c r="H831" s="14"/>
      <c r="U831" s="14"/>
      <c r="W831" s="14"/>
      <c r="X831" s="14"/>
      <c r="Y831" s="14"/>
    </row>
    <row r="832">
      <c r="H832" s="14"/>
      <c r="U832" s="14"/>
      <c r="W832" s="14"/>
      <c r="X832" s="14"/>
      <c r="Y832" s="14"/>
    </row>
    <row r="833">
      <c r="H833" s="14"/>
      <c r="U833" s="14"/>
      <c r="W833" s="14"/>
      <c r="X833" s="14"/>
      <c r="Y833" s="14"/>
    </row>
    <row r="834">
      <c r="H834" s="14"/>
      <c r="U834" s="14"/>
      <c r="W834" s="14"/>
      <c r="X834" s="14"/>
      <c r="Y834" s="14"/>
    </row>
    <row r="835">
      <c r="H835" s="14"/>
      <c r="U835" s="14"/>
      <c r="W835" s="14"/>
      <c r="X835" s="14"/>
      <c r="Y835" s="14"/>
    </row>
    <row r="836">
      <c r="H836" s="14"/>
      <c r="U836" s="14"/>
      <c r="W836" s="14"/>
      <c r="X836" s="14"/>
      <c r="Y836" s="14"/>
    </row>
    <row r="837">
      <c r="H837" s="14"/>
      <c r="U837" s="14"/>
      <c r="W837" s="14"/>
      <c r="X837" s="14"/>
      <c r="Y837" s="14"/>
    </row>
    <row r="838">
      <c r="H838" s="14"/>
      <c r="U838" s="14"/>
      <c r="W838" s="14"/>
      <c r="X838" s="14"/>
      <c r="Y838" s="14"/>
    </row>
    <row r="839">
      <c r="H839" s="14"/>
      <c r="U839" s="14"/>
      <c r="W839" s="14"/>
      <c r="X839" s="14"/>
      <c r="Y839" s="14"/>
    </row>
    <row r="840">
      <c r="H840" s="14"/>
      <c r="U840" s="14"/>
      <c r="W840" s="14"/>
      <c r="X840" s="14"/>
      <c r="Y840" s="14"/>
    </row>
    <row r="841">
      <c r="H841" s="14"/>
      <c r="U841" s="14"/>
      <c r="W841" s="14"/>
      <c r="X841" s="14"/>
      <c r="Y841" s="14"/>
    </row>
    <row r="842">
      <c r="H842" s="14"/>
      <c r="U842" s="14"/>
      <c r="W842" s="14"/>
      <c r="X842" s="14"/>
      <c r="Y842" s="14"/>
    </row>
    <row r="843">
      <c r="H843" s="14"/>
      <c r="U843" s="14"/>
      <c r="W843" s="14"/>
      <c r="X843" s="14"/>
      <c r="Y843" s="14"/>
    </row>
    <row r="844">
      <c r="H844" s="14"/>
      <c r="U844" s="14"/>
      <c r="W844" s="14"/>
      <c r="X844" s="14"/>
      <c r="Y844" s="14"/>
    </row>
    <row r="845">
      <c r="H845" s="14"/>
      <c r="U845" s="14"/>
      <c r="W845" s="14"/>
      <c r="X845" s="14"/>
      <c r="Y845" s="14"/>
    </row>
    <row r="846">
      <c r="H846" s="14"/>
      <c r="U846" s="14"/>
      <c r="W846" s="14"/>
      <c r="X846" s="14"/>
      <c r="Y846" s="14"/>
    </row>
    <row r="847">
      <c r="H847" s="14"/>
      <c r="U847" s="14"/>
      <c r="W847" s="14"/>
      <c r="X847" s="14"/>
      <c r="Y847" s="14"/>
    </row>
    <row r="848">
      <c r="H848" s="14"/>
      <c r="U848" s="14"/>
      <c r="W848" s="14"/>
      <c r="X848" s="14"/>
      <c r="Y848" s="14"/>
    </row>
    <row r="849">
      <c r="H849" s="14"/>
      <c r="U849" s="14"/>
      <c r="W849" s="14"/>
      <c r="X849" s="14"/>
      <c r="Y849" s="14"/>
    </row>
    <row r="850">
      <c r="H850" s="14"/>
      <c r="U850" s="14"/>
      <c r="W850" s="14"/>
      <c r="X850" s="14"/>
      <c r="Y850" s="14"/>
    </row>
    <row r="851">
      <c r="H851" s="14"/>
      <c r="U851" s="14"/>
      <c r="W851" s="14"/>
      <c r="X851" s="14"/>
      <c r="Y851" s="14"/>
    </row>
    <row r="852">
      <c r="H852" s="14"/>
      <c r="U852" s="14"/>
      <c r="W852" s="14"/>
      <c r="X852" s="14"/>
      <c r="Y852" s="14"/>
    </row>
    <row r="853">
      <c r="H853" s="14"/>
      <c r="U853" s="14"/>
      <c r="W853" s="14"/>
      <c r="X853" s="14"/>
      <c r="Y853" s="14"/>
    </row>
    <row r="854">
      <c r="H854" s="14"/>
      <c r="U854" s="14"/>
      <c r="W854" s="14"/>
      <c r="X854" s="14"/>
      <c r="Y854" s="14"/>
    </row>
    <row r="855">
      <c r="H855" s="14"/>
      <c r="U855" s="14"/>
      <c r="W855" s="14"/>
      <c r="X855" s="14"/>
      <c r="Y855" s="14"/>
    </row>
    <row r="856">
      <c r="H856" s="14"/>
      <c r="U856" s="14"/>
      <c r="W856" s="14"/>
      <c r="X856" s="14"/>
      <c r="Y856" s="14"/>
    </row>
    <row r="857">
      <c r="H857" s="14"/>
      <c r="U857" s="14"/>
      <c r="W857" s="14"/>
      <c r="X857" s="14"/>
      <c r="Y857" s="14"/>
    </row>
    <row r="858">
      <c r="H858" s="14"/>
      <c r="U858" s="14"/>
      <c r="W858" s="14"/>
      <c r="X858" s="14"/>
      <c r="Y858" s="14"/>
    </row>
    <row r="859">
      <c r="H859" s="14"/>
      <c r="U859" s="14"/>
      <c r="W859" s="14"/>
      <c r="X859" s="14"/>
      <c r="Y859" s="14"/>
    </row>
    <row r="860">
      <c r="H860" s="14"/>
      <c r="U860" s="14"/>
      <c r="W860" s="14"/>
      <c r="X860" s="14"/>
      <c r="Y860" s="14"/>
    </row>
    <row r="861">
      <c r="H861" s="14"/>
      <c r="U861" s="14"/>
      <c r="W861" s="14"/>
      <c r="X861" s="14"/>
      <c r="Y861" s="14"/>
    </row>
    <row r="862">
      <c r="H862" s="14"/>
      <c r="U862" s="14"/>
      <c r="W862" s="14"/>
      <c r="X862" s="14"/>
      <c r="Y862" s="14"/>
    </row>
    <row r="863">
      <c r="H863" s="14"/>
      <c r="U863" s="14"/>
      <c r="W863" s="14"/>
      <c r="X863" s="14"/>
      <c r="Y863" s="14"/>
    </row>
    <row r="864">
      <c r="H864" s="14"/>
      <c r="U864" s="14"/>
      <c r="W864" s="14"/>
      <c r="X864" s="14"/>
      <c r="Y864" s="14"/>
    </row>
    <row r="865">
      <c r="H865" s="14"/>
      <c r="U865" s="14"/>
      <c r="W865" s="14"/>
      <c r="X865" s="14"/>
      <c r="Y865" s="14"/>
    </row>
    <row r="866">
      <c r="H866" s="14"/>
      <c r="U866" s="14"/>
      <c r="W866" s="14"/>
      <c r="X866" s="14"/>
      <c r="Y866" s="14"/>
    </row>
    <row r="867">
      <c r="H867" s="14"/>
      <c r="U867" s="14"/>
      <c r="W867" s="14"/>
      <c r="X867" s="14"/>
      <c r="Y867" s="14"/>
    </row>
    <row r="868">
      <c r="H868" s="14"/>
      <c r="U868" s="14"/>
      <c r="W868" s="14"/>
      <c r="X868" s="14"/>
      <c r="Y868" s="14"/>
    </row>
    <row r="869">
      <c r="H869" s="14"/>
      <c r="U869" s="14"/>
      <c r="W869" s="14"/>
      <c r="X869" s="14"/>
      <c r="Y869" s="14"/>
    </row>
    <row r="870">
      <c r="H870" s="14"/>
      <c r="U870" s="14"/>
      <c r="W870" s="14"/>
      <c r="X870" s="14"/>
      <c r="Y870" s="14"/>
    </row>
    <row r="871">
      <c r="H871" s="14"/>
      <c r="U871" s="14"/>
      <c r="W871" s="14"/>
      <c r="X871" s="14"/>
      <c r="Y871" s="14"/>
    </row>
    <row r="872">
      <c r="H872" s="14"/>
      <c r="U872" s="14"/>
      <c r="W872" s="14"/>
      <c r="X872" s="14"/>
      <c r="Y872" s="14"/>
    </row>
    <row r="873">
      <c r="H873" s="14"/>
      <c r="U873" s="14"/>
      <c r="W873" s="14"/>
      <c r="X873" s="14"/>
      <c r="Y873" s="14"/>
    </row>
    <row r="874">
      <c r="H874" s="14"/>
      <c r="U874" s="14"/>
      <c r="W874" s="14"/>
      <c r="X874" s="14"/>
      <c r="Y874" s="14"/>
    </row>
    <row r="875">
      <c r="H875" s="14"/>
      <c r="U875" s="14"/>
      <c r="W875" s="14"/>
      <c r="X875" s="14"/>
      <c r="Y875" s="14"/>
    </row>
    <row r="876">
      <c r="H876" s="14"/>
      <c r="U876" s="14"/>
      <c r="W876" s="14"/>
      <c r="X876" s="14"/>
      <c r="Y876" s="14"/>
    </row>
    <row r="877">
      <c r="H877" s="14"/>
      <c r="U877" s="14"/>
      <c r="W877" s="14"/>
      <c r="X877" s="14"/>
      <c r="Y877" s="14"/>
    </row>
    <row r="878">
      <c r="H878" s="14"/>
      <c r="U878" s="14"/>
      <c r="W878" s="14"/>
      <c r="X878" s="14"/>
      <c r="Y878" s="14"/>
    </row>
    <row r="879">
      <c r="H879" s="14"/>
      <c r="U879" s="14"/>
      <c r="W879" s="14"/>
      <c r="X879" s="14"/>
      <c r="Y879" s="14"/>
    </row>
    <row r="880">
      <c r="H880" s="14"/>
      <c r="U880" s="14"/>
      <c r="W880" s="14"/>
      <c r="X880" s="14"/>
      <c r="Y880" s="14"/>
    </row>
    <row r="881">
      <c r="H881" s="14"/>
      <c r="U881" s="14"/>
      <c r="W881" s="14"/>
      <c r="X881" s="14"/>
      <c r="Y881" s="14"/>
    </row>
    <row r="882">
      <c r="H882" s="14"/>
      <c r="U882" s="14"/>
      <c r="W882" s="14"/>
      <c r="X882" s="14"/>
      <c r="Y882" s="14"/>
    </row>
    <row r="883">
      <c r="H883" s="14"/>
      <c r="U883" s="14"/>
      <c r="W883" s="14"/>
      <c r="X883" s="14"/>
      <c r="Y883" s="14"/>
    </row>
    <row r="884">
      <c r="H884" s="14"/>
      <c r="U884" s="14"/>
      <c r="W884" s="14"/>
      <c r="X884" s="14"/>
      <c r="Y884" s="14"/>
    </row>
    <row r="885">
      <c r="H885" s="14"/>
      <c r="U885" s="14"/>
      <c r="W885" s="14"/>
      <c r="X885" s="14"/>
      <c r="Y885" s="14"/>
    </row>
    <row r="886">
      <c r="H886" s="14"/>
      <c r="U886" s="14"/>
      <c r="W886" s="14"/>
      <c r="X886" s="14"/>
      <c r="Y886" s="14"/>
    </row>
    <row r="887">
      <c r="H887" s="14"/>
      <c r="U887" s="14"/>
      <c r="W887" s="14"/>
      <c r="X887" s="14"/>
      <c r="Y887" s="14"/>
    </row>
    <row r="888">
      <c r="H888" s="14"/>
      <c r="U888" s="14"/>
      <c r="W888" s="14"/>
      <c r="X888" s="14"/>
      <c r="Y888" s="14"/>
    </row>
    <row r="889">
      <c r="H889" s="14"/>
      <c r="U889" s="14"/>
      <c r="W889" s="14"/>
      <c r="X889" s="14"/>
      <c r="Y889" s="14"/>
    </row>
    <row r="890">
      <c r="H890" s="14"/>
      <c r="U890" s="14"/>
      <c r="W890" s="14"/>
      <c r="X890" s="14"/>
      <c r="Y890" s="14"/>
    </row>
    <row r="891">
      <c r="H891" s="14"/>
      <c r="U891" s="14"/>
      <c r="W891" s="14"/>
      <c r="X891" s="14"/>
      <c r="Y891" s="14"/>
    </row>
    <row r="892">
      <c r="H892" s="14"/>
      <c r="U892" s="14"/>
      <c r="W892" s="14"/>
      <c r="X892" s="14"/>
      <c r="Y892" s="14"/>
    </row>
    <row r="893">
      <c r="H893" s="14"/>
      <c r="U893" s="14"/>
      <c r="W893" s="14"/>
      <c r="X893" s="14"/>
      <c r="Y893" s="14"/>
    </row>
    <row r="894">
      <c r="H894" s="14"/>
      <c r="U894" s="14"/>
      <c r="W894" s="14"/>
      <c r="X894" s="14"/>
      <c r="Y894" s="14"/>
    </row>
    <row r="895">
      <c r="H895" s="14"/>
      <c r="U895" s="14"/>
      <c r="W895" s="14"/>
      <c r="X895" s="14"/>
      <c r="Y895" s="14"/>
    </row>
    <row r="896">
      <c r="H896" s="14"/>
      <c r="U896" s="14"/>
      <c r="W896" s="14"/>
      <c r="X896" s="14"/>
      <c r="Y896" s="14"/>
    </row>
    <row r="897">
      <c r="H897" s="14"/>
      <c r="U897" s="14"/>
      <c r="W897" s="14"/>
      <c r="X897" s="14"/>
      <c r="Y897" s="14"/>
    </row>
    <row r="898">
      <c r="H898" s="14"/>
      <c r="U898" s="14"/>
      <c r="W898" s="14"/>
      <c r="X898" s="14"/>
      <c r="Y898" s="14"/>
    </row>
    <row r="899">
      <c r="H899" s="14"/>
      <c r="U899" s="14"/>
      <c r="W899" s="14"/>
      <c r="X899" s="14"/>
      <c r="Y899" s="14"/>
    </row>
    <row r="900">
      <c r="H900" s="14"/>
      <c r="U900" s="14"/>
      <c r="W900" s="14"/>
      <c r="X900" s="14"/>
      <c r="Y900" s="14"/>
    </row>
    <row r="901">
      <c r="H901" s="14"/>
      <c r="U901" s="14"/>
      <c r="W901" s="14"/>
      <c r="X901" s="14"/>
      <c r="Y901" s="14"/>
    </row>
    <row r="902">
      <c r="H902" s="14"/>
      <c r="U902" s="14"/>
      <c r="W902" s="14"/>
      <c r="X902" s="14"/>
      <c r="Y902" s="14"/>
    </row>
    <row r="903">
      <c r="H903" s="14"/>
      <c r="U903" s="14"/>
      <c r="W903" s="14"/>
      <c r="X903" s="14"/>
      <c r="Y903" s="14"/>
    </row>
    <row r="904">
      <c r="H904" s="14"/>
      <c r="U904" s="14"/>
      <c r="W904" s="14"/>
      <c r="X904" s="14"/>
      <c r="Y904" s="14"/>
    </row>
    <row r="905">
      <c r="H905" s="14"/>
      <c r="U905" s="14"/>
      <c r="W905" s="14"/>
      <c r="X905" s="14"/>
      <c r="Y905" s="14"/>
    </row>
    <row r="906">
      <c r="H906" s="14"/>
      <c r="U906" s="14"/>
      <c r="W906" s="14"/>
      <c r="X906" s="14"/>
      <c r="Y906" s="14"/>
    </row>
    <row r="907">
      <c r="H907" s="14"/>
      <c r="U907" s="14"/>
      <c r="W907" s="14"/>
      <c r="X907" s="14"/>
      <c r="Y907" s="14"/>
    </row>
    <row r="908">
      <c r="H908" s="14"/>
      <c r="U908" s="14"/>
      <c r="W908" s="14"/>
      <c r="X908" s="14"/>
      <c r="Y908" s="14"/>
    </row>
    <row r="909">
      <c r="H909" s="14"/>
      <c r="U909" s="14"/>
      <c r="W909" s="14"/>
      <c r="X909" s="14"/>
      <c r="Y909" s="14"/>
    </row>
    <row r="910">
      <c r="H910" s="14"/>
      <c r="U910" s="14"/>
      <c r="W910" s="14"/>
      <c r="X910" s="14"/>
      <c r="Y910" s="14"/>
    </row>
    <row r="911">
      <c r="H911" s="14"/>
      <c r="U911" s="14"/>
      <c r="W911" s="14"/>
      <c r="X911" s="14"/>
      <c r="Y911" s="14"/>
    </row>
    <row r="912">
      <c r="H912" s="14"/>
      <c r="U912" s="14"/>
      <c r="W912" s="14"/>
      <c r="X912" s="14"/>
      <c r="Y912" s="14"/>
    </row>
    <row r="913">
      <c r="H913" s="14"/>
      <c r="U913" s="14"/>
      <c r="W913" s="14"/>
      <c r="X913" s="14"/>
      <c r="Y913" s="14"/>
    </row>
    <row r="914">
      <c r="H914" s="14"/>
      <c r="U914" s="14"/>
      <c r="W914" s="14"/>
      <c r="X914" s="14"/>
      <c r="Y914" s="14"/>
    </row>
    <row r="915">
      <c r="H915" s="14"/>
      <c r="U915" s="14"/>
      <c r="W915" s="14"/>
      <c r="X915" s="14"/>
      <c r="Y915" s="14"/>
    </row>
    <row r="916">
      <c r="H916" s="14"/>
      <c r="U916" s="14"/>
      <c r="W916" s="14"/>
      <c r="X916" s="14"/>
      <c r="Y916" s="14"/>
    </row>
    <row r="917">
      <c r="H917" s="14"/>
      <c r="U917" s="14"/>
      <c r="W917" s="14"/>
      <c r="X917" s="14"/>
      <c r="Y917" s="14"/>
    </row>
    <row r="918">
      <c r="H918" s="14"/>
      <c r="U918" s="14"/>
      <c r="W918" s="14"/>
      <c r="X918" s="14"/>
      <c r="Y918" s="14"/>
    </row>
    <row r="919">
      <c r="H919" s="14"/>
      <c r="U919" s="14"/>
      <c r="W919" s="14"/>
      <c r="X919" s="14"/>
      <c r="Y919" s="14"/>
    </row>
    <row r="920">
      <c r="H920" s="14"/>
      <c r="U920" s="14"/>
      <c r="W920" s="14"/>
      <c r="X920" s="14"/>
      <c r="Y920" s="14"/>
    </row>
    <row r="921">
      <c r="H921" s="14"/>
      <c r="U921" s="14"/>
      <c r="W921" s="14"/>
      <c r="X921" s="14"/>
      <c r="Y921" s="14"/>
    </row>
    <row r="922">
      <c r="H922" s="14"/>
      <c r="U922" s="14"/>
      <c r="W922" s="14"/>
      <c r="X922" s="14"/>
      <c r="Y922" s="14"/>
    </row>
    <row r="923">
      <c r="H923" s="14"/>
      <c r="U923" s="14"/>
      <c r="W923" s="14"/>
      <c r="X923" s="14"/>
      <c r="Y923" s="14"/>
    </row>
    <row r="924">
      <c r="H924" s="14"/>
      <c r="U924" s="14"/>
      <c r="W924" s="14"/>
      <c r="X924" s="14"/>
      <c r="Y924" s="14"/>
    </row>
    <row r="925">
      <c r="H925" s="14"/>
      <c r="U925" s="14"/>
      <c r="W925" s="14"/>
      <c r="X925" s="14"/>
      <c r="Y925" s="14"/>
    </row>
    <row r="926">
      <c r="H926" s="14"/>
      <c r="U926" s="14"/>
      <c r="W926" s="14"/>
      <c r="X926" s="14"/>
      <c r="Y926" s="14"/>
    </row>
    <row r="927">
      <c r="H927" s="14"/>
      <c r="U927" s="14"/>
      <c r="W927" s="14"/>
      <c r="X927" s="14"/>
      <c r="Y927" s="14"/>
    </row>
    <row r="928">
      <c r="H928" s="14"/>
      <c r="U928" s="14"/>
      <c r="W928" s="14"/>
      <c r="X928" s="14"/>
      <c r="Y928" s="14"/>
    </row>
    <row r="929">
      <c r="H929" s="14"/>
      <c r="U929" s="14"/>
      <c r="W929" s="14"/>
      <c r="X929" s="14"/>
      <c r="Y929" s="14"/>
    </row>
    <row r="930">
      <c r="H930" s="14"/>
      <c r="U930" s="14"/>
      <c r="W930" s="14"/>
      <c r="X930" s="14"/>
      <c r="Y930" s="14"/>
    </row>
    <row r="931">
      <c r="H931" s="14"/>
      <c r="U931" s="14"/>
      <c r="W931" s="14"/>
      <c r="X931" s="14"/>
      <c r="Y931" s="14"/>
    </row>
    <row r="932">
      <c r="H932" s="14"/>
      <c r="U932" s="14"/>
      <c r="W932" s="14"/>
      <c r="X932" s="14"/>
      <c r="Y932" s="14"/>
    </row>
    <row r="933">
      <c r="H933" s="14"/>
      <c r="U933" s="14"/>
      <c r="W933" s="14"/>
      <c r="X933" s="14"/>
      <c r="Y933" s="14"/>
    </row>
    <row r="934">
      <c r="H934" s="14"/>
      <c r="U934" s="14"/>
      <c r="W934" s="14"/>
      <c r="X934" s="14"/>
      <c r="Y934" s="14"/>
    </row>
    <row r="935">
      <c r="H935" s="14"/>
      <c r="U935" s="14"/>
      <c r="W935" s="14"/>
      <c r="X935" s="14"/>
      <c r="Y935" s="14"/>
    </row>
    <row r="936">
      <c r="H936" s="14"/>
      <c r="U936" s="14"/>
      <c r="W936" s="14"/>
      <c r="X936" s="14"/>
      <c r="Y936" s="14"/>
    </row>
    <row r="937">
      <c r="H937" s="14"/>
      <c r="U937" s="14"/>
      <c r="W937" s="14"/>
      <c r="X937" s="14"/>
      <c r="Y937" s="14"/>
    </row>
    <row r="938">
      <c r="H938" s="14"/>
      <c r="U938" s="14"/>
      <c r="W938" s="14"/>
      <c r="X938" s="14"/>
      <c r="Y938" s="14"/>
    </row>
    <row r="939">
      <c r="H939" s="14"/>
      <c r="U939" s="14"/>
      <c r="W939" s="14"/>
      <c r="X939" s="14"/>
      <c r="Y939" s="14"/>
    </row>
    <row r="940">
      <c r="H940" s="14"/>
      <c r="U940" s="14"/>
      <c r="W940" s="14"/>
      <c r="X940" s="14"/>
      <c r="Y940" s="14"/>
    </row>
    <row r="941">
      <c r="H941" s="14"/>
      <c r="U941" s="14"/>
      <c r="W941" s="14"/>
      <c r="X941" s="14"/>
      <c r="Y941" s="14"/>
    </row>
    <row r="942">
      <c r="H942" s="14"/>
      <c r="U942" s="14"/>
      <c r="W942" s="14"/>
      <c r="X942" s="14"/>
      <c r="Y942" s="14"/>
    </row>
    <row r="943">
      <c r="H943" s="14"/>
      <c r="U943" s="14"/>
      <c r="W943" s="14"/>
      <c r="X943" s="14"/>
      <c r="Y943" s="14"/>
    </row>
    <row r="944">
      <c r="H944" s="14"/>
      <c r="U944" s="14"/>
      <c r="W944" s="14"/>
      <c r="X944" s="14"/>
      <c r="Y944" s="14"/>
    </row>
    <row r="945">
      <c r="H945" s="14"/>
      <c r="U945" s="14"/>
      <c r="W945" s="14"/>
      <c r="X945" s="14"/>
      <c r="Y945" s="14"/>
    </row>
    <row r="946">
      <c r="H946" s="14"/>
      <c r="U946" s="14"/>
      <c r="W946" s="14"/>
      <c r="X946" s="14"/>
      <c r="Y946" s="14"/>
    </row>
    <row r="947">
      <c r="H947" s="14"/>
      <c r="U947" s="14"/>
      <c r="W947" s="14"/>
      <c r="X947" s="14"/>
      <c r="Y947" s="14"/>
    </row>
    <row r="948">
      <c r="H948" s="14"/>
      <c r="U948" s="14"/>
      <c r="W948" s="14"/>
      <c r="X948" s="14"/>
      <c r="Y948" s="14"/>
    </row>
    <row r="949">
      <c r="H949" s="14"/>
      <c r="U949" s="14"/>
      <c r="W949" s="14"/>
      <c r="X949" s="14"/>
      <c r="Y949" s="14"/>
    </row>
    <row r="950">
      <c r="H950" s="14"/>
      <c r="U950" s="14"/>
      <c r="W950" s="14"/>
      <c r="X950" s="14"/>
      <c r="Y950" s="14"/>
    </row>
    <row r="951">
      <c r="H951" s="14"/>
      <c r="U951" s="14"/>
      <c r="W951" s="14"/>
      <c r="X951" s="14"/>
      <c r="Y951" s="14"/>
    </row>
    <row r="952">
      <c r="H952" s="14"/>
      <c r="U952" s="14"/>
      <c r="W952" s="14"/>
      <c r="X952" s="14"/>
      <c r="Y952" s="14"/>
    </row>
    <row r="953">
      <c r="H953" s="14"/>
      <c r="U953" s="14"/>
      <c r="W953" s="14"/>
      <c r="X953" s="14"/>
      <c r="Y953" s="14"/>
    </row>
    <row r="954">
      <c r="H954" s="14"/>
      <c r="U954" s="14"/>
      <c r="W954" s="14"/>
      <c r="X954" s="14"/>
      <c r="Y954" s="14"/>
    </row>
    <row r="955">
      <c r="H955" s="14"/>
      <c r="U955" s="14"/>
      <c r="W955" s="14"/>
      <c r="X955" s="14"/>
      <c r="Y955" s="14"/>
    </row>
    <row r="956">
      <c r="H956" s="14"/>
      <c r="U956" s="14"/>
      <c r="W956" s="14"/>
      <c r="X956" s="14"/>
      <c r="Y956" s="14"/>
    </row>
    <row r="957">
      <c r="H957" s="14"/>
      <c r="U957" s="14"/>
      <c r="W957" s="14"/>
      <c r="X957" s="14"/>
      <c r="Y957" s="14"/>
    </row>
    <row r="958">
      <c r="H958" s="14"/>
      <c r="U958" s="14"/>
      <c r="W958" s="14"/>
      <c r="X958" s="14"/>
      <c r="Y958" s="14"/>
    </row>
    <row r="959">
      <c r="H959" s="14"/>
      <c r="U959" s="14"/>
      <c r="W959" s="14"/>
      <c r="X959" s="14"/>
      <c r="Y959" s="14"/>
    </row>
    <row r="960">
      <c r="H960" s="14"/>
      <c r="U960" s="14"/>
      <c r="W960" s="14"/>
      <c r="X960" s="14"/>
      <c r="Y960" s="14"/>
    </row>
    <row r="961">
      <c r="H961" s="14"/>
      <c r="U961" s="14"/>
      <c r="W961" s="14"/>
      <c r="X961" s="14"/>
      <c r="Y961" s="14"/>
    </row>
    <row r="962">
      <c r="H962" s="14"/>
      <c r="U962" s="14"/>
      <c r="W962" s="14"/>
      <c r="X962" s="14"/>
      <c r="Y962" s="14"/>
    </row>
    <row r="963">
      <c r="H963" s="14"/>
      <c r="U963" s="14"/>
      <c r="W963" s="14"/>
      <c r="X963" s="14"/>
      <c r="Y963" s="14"/>
    </row>
    <row r="964">
      <c r="H964" s="14"/>
      <c r="U964" s="14"/>
      <c r="W964" s="14"/>
      <c r="X964" s="14"/>
      <c r="Y964" s="14"/>
    </row>
    <row r="965">
      <c r="H965" s="14"/>
      <c r="U965" s="14"/>
      <c r="W965" s="14"/>
      <c r="X965" s="14"/>
      <c r="Y965" s="14"/>
    </row>
    <row r="966">
      <c r="H966" s="14"/>
      <c r="U966" s="14"/>
      <c r="W966" s="14"/>
      <c r="X966" s="14"/>
      <c r="Y966" s="14"/>
    </row>
    <row r="967">
      <c r="H967" s="14"/>
      <c r="U967" s="14"/>
      <c r="W967" s="14"/>
      <c r="X967" s="14"/>
      <c r="Y967" s="14"/>
    </row>
    <row r="968">
      <c r="H968" s="14"/>
      <c r="U968" s="14"/>
      <c r="W968" s="14"/>
      <c r="X968" s="14"/>
      <c r="Y968" s="14"/>
    </row>
    <row r="969">
      <c r="H969" s="14"/>
      <c r="U969" s="14"/>
      <c r="W969" s="14"/>
      <c r="X969" s="14"/>
      <c r="Y969" s="14"/>
    </row>
    <row r="970">
      <c r="H970" s="14"/>
      <c r="U970" s="14"/>
      <c r="W970" s="14"/>
      <c r="X970" s="14"/>
      <c r="Y970" s="14"/>
    </row>
    <row r="971">
      <c r="H971" s="14"/>
      <c r="U971" s="14"/>
      <c r="W971" s="14"/>
      <c r="X971" s="14"/>
      <c r="Y971" s="14"/>
    </row>
    <row r="972">
      <c r="H972" s="14"/>
      <c r="U972" s="14"/>
      <c r="W972" s="14"/>
      <c r="X972" s="14"/>
      <c r="Y972" s="14"/>
    </row>
    <row r="973">
      <c r="H973" s="14"/>
      <c r="U973" s="14"/>
      <c r="W973" s="14"/>
      <c r="X973" s="14"/>
      <c r="Y973" s="14"/>
    </row>
    <row r="974">
      <c r="H974" s="14"/>
      <c r="U974" s="14"/>
      <c r="W974" s="14"/>
      <c r="X974" s="14"/>
      <c r="Y974" s="14"/>
    </row>
    <row r="975">
      <c r="H975" s="14"/>
      <c r="U975" s="14"/>
      <c r="W975" s="14"/>
      <c r="X975" s="14"/>
      <c r="Y975" s="14"/>
    </row>
    <row r="976">
      <c r="H976" s="14"/>
      <c r="U976" s="14"/>
      <c r="W976" s="14"/>
      <c r="X976" s="14"/>
      <c r="Y976" s="14"/>
    </row>
    <row r="977">
      <c r="H977" s="14"/>
      <c r="U977" s="14"/>
      <c r="W977" s="14"/>
      <c r="X977" s="14"/>
      <c r="Y977" s="14"/>
    </row>
    <row r="978">
      <c r="H978" s="14"/>
      <c r="U978" s="14"/>
      <c r="W978" s="14"/>
      <c r="X978" s="14"/>
      <c r="Y978" s="14"/>
    </row>
    <row r="979">
      <c r="H979" s="14"/>
      <c r="U979" s="14"/>
      <c r="W979" s="14"/>
      <c r="X979" s="14"/>
      <c r="Y979" s="14"/>
    </row>
    <row r="980">
      <c r="H980" s="14"/>
      <c r="U980" s="14"/>
      <c r="W980" s="14"/>
      <c r="X980" s="14"/>
      <c r="Y980" s="14"/>
    </row>
    <row r="981">
      <c r="H981" s="14"/>
      <c r="U981" s="14"/>
      <c r="W981" s="14"/>
      <c r="X981" s="14"/>
      <c r="Y981" s="14"/>
    </row>
    <row r="982">
      <c r="H982" s="14"/>
      <c r="U982" s="14"/>
      <c r="W982" s="14"/>
      <c r="X982" s="14"/>
      <c r="Y982" s="14"/>
    </row>
    <row r="983">
      <c r="H983" s="14"/>
      <c r="U983" s="14"/>
      <c r="W983" s="14"/>
      <c r="X983" s="14"/>
      <c r="Y983" s="14"/>
    </row>
    <row r="984">
      <c r="H984" s="14"/>
      <c r="U984" s="14"/>
      <c r="W984" s="14"/>
      <c r="X984" s="14"/>
      <c r="Y984" s="14"/>
    </row>
    <row r="985">
      <c r="H985" s="14"/>
      <c r="U985" s="14"/>
      <c r="W985" s="14"/>
      <c r="X985" s="14"/>
      <c r="Y985" s="14"/>
    </row>
    <row r="986">
      <c r="H986" s="14"/>
      <c r="U986" s="14"/>
      <c r="W986" s="14"/>
      <c r="X986" s="14"/>
      <c r="Y986" s="14"/>
    </row>
    <row r="987">
      <c r="H987" s="14"/>
      <c r="U987" s="14"/>
      <c r="W987" s="14"/>
      <c r="X987" s="14"/>
      <c r="Y987" s="14"/>
    </row>
    <row r="988">
      <c r="H988" s="14"/>
      <c r="U988" s="14"/>
      <c r="W988" s="14"/>
      <c r="X988" s="14"/>
      <c r="Y988" s="14"/>
    </row>
    <row r="989">
      <c r="H989" s="14"/>
      <c r="U989" s="14"/>
      <c r="W989" s="14"/>
      <c r="X989" s="14"/>
      <c r="Y989" s="14"/>
    </row>
    <row r="990">
      <c r="H990" s="14"/>
      <c r="U990" s="14"/>
      <c r="W990" s="14"/>
      <c r="X990" s="14"/>
      <c r="Y990" s="14"/>
    </row>
    <row r="991">
      <c r="H991" s="14"/>
      <c r="U991" s="14"/>
      <c r="W991" s="14"/>
      <c r="X991" s="14"/>
      <c r="Y991" s="14"/>
    </row>
    <row r="992">
      <c r="H992" s="14"/>
      <c r="U992" s="14"/>
      <c r="W992" s="14"/>
      <c r="X992" s="14"/>
      <c r="Y992" s="14"/>
    </row>
    <row r="993">
      <c r="H993" s="14"/>
      <c r="U993" s="14"/>
      <c r="W993" s="14"/>
      <c r="X993" s="14"/>
      <c r="Y993" s="14"/>
    </row>
    <row r="994">
      <c r="H994" s="14"/>
      <c r="U994" s="14"/>
      <c r="W994" s="14"/>
      <c r="X994" s="14"/>
      <c r="Y994" s="14"/>
    </row>
    <row r="995">
      <c r="H995" s="14"/>
      <c r="U995" s="14"/>
      <c r="W995" s="14"/>
      <c r="X995" s="14"/>
      <c r="Y995" s="14"/>
    </row>
    <row r="996">
      <c r="H996" s="14"/>
      <c r="U996" s="14"/>
      <c r="W996" s="14"/>
      <c r="X996" s="14"/>
      <c r="Y996" s="14"/>
    </row>
    <row r="997">
      <c r="H997" s="14"/>
      <c r="U997" s="14"/>
      <c r="W997" s="14"/>
      <c r="X997" s="14"/>
      <c r="Y997" s="14"/>
    </row>
    <row r="998">
      <c r="H998" s="14"/>
      <c r="U998" s="14"/>
      <c r="W998" s="14"/>
      <c r="X998" s="14"/>
      <c r="Y998" s="14"/>
    </row>
    <row r="999">
      <c r="H999" s="14"/>
      <c r="U999" s="14"/>
      <c r="W999" s="14"/>
      <c r="X999" s="14"/>
      <c r="Y999" s="14"/>
    </row>
    <row r="1000">
      <c r="H1000" s="14"/>
      <c r="U1000" s="14"/>
      <c r="W1000" s="14"/>
      <c r="X1000" s="14"/>
      <c r="Y1000" s="14"/>
    </row>
  </sheetData>
  <drawing r:id="rId1"/>
</worksheet>
</file>