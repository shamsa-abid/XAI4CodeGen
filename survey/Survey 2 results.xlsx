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Analysis of Customized Question" sheetId="2" r:id="rId6"/>
  </sheets>
  <definedNames/>
  <calcPr/>
</workbook>
</file>

<file path=xl/sharedStrings.xml><?xml version="1.0" encoding="utf-8"?>
<sst xmlns="http://schemas.openxmlformats.org/spreadsheetml/2006/main" count="282" uniqueCount="117">
  <si>
    <t>Timestamp</t>
  </si>
  <si>
    <t xml:space="preserve"> Please select "Yes" to indicate you have read this information and you accept to take the survey:</t>
  </si>
  <si>
    <t>Please indicate your education subject area</t>
  </si>
  <si>
    <t xml:space="preserve">Please indicate your current education level </t>
  </si>
  <si>
    <t>Please Indicate your current role</t>
  </si>
  <si>
    <t>Please indicate your interaction with code generation models</t>
  </si>
  <si>
    <t xml:space="preserve">Please indicate the time period during which you have been working with AI tools/models for code generation. </t>
  </si>
  <si>
    <t>Which AI code generation models do you use or interact with</t>
  </si>
  <si>
    <t>What kinds of code artifacts (e.g., functions, scripts, projects) were used to train the model?</t>
  </si>
  <si>
    <t>Were the training code examples sourced from open-source repositories e.g., GitHub, Stack Overflow, textbooks, or proprietary datasets?</t>
  </si>
  <si>
    <t>For supervised training tasks e.g., code summarization, translation, how were ground-truth labels or outputs defined and validated?</t>
  </si>
  <si>
    <t>How many code files or code snippets were used to train the model?</t>
  </si>
  <si>
    <t>Are there any known or commonly used code datasets e.g., HumanEval, CodeSearchNet that were explicitly excluded from training?</t>
  </si>
  <si>
    <t>Does the training data favor specific programming languages, styles, domains e.g., web, systems, or coding conventions that may bias the model’s output?</t>
  </si>
  <si>
    <t>What is the distribution of code samples by language, code length, project type, or complexity in the training dataset?</t>
  </si>
  <si>
    <t>What kind of code outputs can the model generate—functions, full programs, configuration files, documentation, or test cases?</t>
  </si>
  <si>
    <t>How should I interpret the generated code—does it represent a complete, executable solution or just a code snippet meant to be extended or integrated?</t>
  </si>
  <si>
    <t>What code-related tasks can the model handle (e.g., code translation, completion, debugging, refactoring), and where are its known limitations?</t>
  </si>
  <si>
    <t>How can the generated code be integrated into my existing development pipeline or tools (e.g., compilers, test frameworks, CI/CD)?</t>
  </si>
  <si>
    <t>What are the best practices for reviewing, testing, or modifying the generated code before deploying it in production or submitting it to version control?</t>
  </si>
  <si>
    <t>How can this model-generated code be used efficiently within my software development workflow (e.g., prototyping, learning, accelerating repetitive tasks)?</t>
  </si>
  <si>
    <t>How accurate, syntactically correct, and semantically valid is the generated code? How reliable is it across different code tasks (e.g., translation, completion, test generation)?</t>
  </si>
  <si>
    <t>How frequently does the model produce incorrect, incomplete, insecure, or non-compiling code?</t>
  </si>
  <si>
    <t>Under what input conditions or code tasks (e.g., simple utility functions vs. complex algorithms) is the model more or less likely to produce correct outputs?</t>
  </si>
  <si>
    <t>What are the known weaknesses of the model—e.g., poor handling of rare languages, advanced design patterns, or domain-specific APIs?</t>
  </si>
  <si>
    <t>Does the model tend to introduce logic bugs, misuse libraries, ignore edge cases, or produce non-idiomatic code?</t>
  </si>
  <si>
    <t>Is the model suitable for use in production-level code, educational purposes, rapid prototyping, or legacy code migration?</t>
  </si>
  <si>
    <t>How does the neural network process source code or natural language input to generate corresponding code output?</t>
  </si>
  <si>
    <t>What syntactic or semantic code features e.g., keywords, function signatures, code structure are important in guiding predictions?</t>
  </si>
  <si>
    <t>Does the model consider [feature X], such as a specific variable, comment, or function call, in generating the output?</t>
  </si>
  <si>
    <t>What are the high-level decision patterns or learned associations the model uses to predict code completions or transformations?</t>
  </si>
  <si>
    <t>How much influence do different code tokens, AST nodes, or input types e.g., comments vs. code have on the model’s output?</t>
  </si>
  <si>
    <t>Are there implicit patterns or rules the model tends to replicate, such as standard library usage or code idioms?</t>
  </si>
  <si>
    <t>If we modify or remove [feature X], how is the generated code affected?</t>
  </si>
  <si>
    <t>What are the most influential input patterns, syntax structures, or tokens that affect generation behavior?</t>
  </si>
  <si>
    <t>What neural architecture underlies the model e.g., Transformer, LSTM? How does this affect its capacity to understand code?</t>
  </si>
  <si>
    <t>What training strategies e.g., fine-tuning, pretraining and hyperparameter settings were used? What data was the model trained on?</t>
  </si>
  <si>
    <t>Why did the model generate this specific code snippet for the given prompt or partial code? How did it arrive at this particular output among possible alternatives?</t>
  </si>
  <si>
    <t>What aspects of the input (e.g., function name, comments, code context, natural language intent) influenced the model’s code generation most?</t>
  </si>
  <si>
    <t>Why did the model generate the same or similar code for two different prompts or inputs (e.g., slightly different phrasing or variable names)? What common patterns led to this convergence?</t>
  </si>
  <si>
    <t>Why didn’t the model generate a more efficient (or idiomatic, or expected) version of the code? Why was a particular API or construct not used in the generated code?</t>
  </si>
  <si>
    <t>Why did the model choose this code structure or algorithm over another possible one (e.g., iteration vs recursion, quicksort vs mergesort)?</t>
  </si>
  <si>
    <t>Why did similar input prompts/code snippets result in different outputs? What differences in input caused the model to generate distinct code?</t>
  </si>
  <si>
    <t>How should I rephrase the prompt or modify the code snippet to generate a different kind of implementation (e.g., use a different library, algorithm, or coding style)?</t>
  </si>
  <si>
    <t>What is the smallest modification to the input (e.g., parameter, comment, or keyword) needed to generate a significantly different version of code (e.g., with optimization, better readability, or fewer dependencies)?</t>
  </si>
  <si>
    <t>How should I change a specific part of the input—like the function name, data type, or comment—for the model to generate code using a different method or abstraction?</t>
  </si>
  <si>
    <t>What kind of prompt or code context typically leads the model to output more robust, idiomatic, or secure code compared to the one it gave now?</t>
  </si>
  <si>
    <t>What changes can I make to the prompt or input code (e.g., reordering comments, using synonyms, changing formatting) that still result in the same generated code or logic?</t>
  </si>
  <si>
    <t>How much can I vary elements like variable names, input types, or function structure before the model starts generating different code logic or structure?</t>
  </si>
  <si>
    <t>What specific parts of the input (e.g., algorithm name, data structure, comment cues) are critical for ensuring that the generated code performs the same operation or uses the same technique?</t>
  </si>
  <si>
    <t>What types of prompts or code snippets typically result in the same or similar generated code (e.g., same logic with different wording)?</t>
  </si>
  <si>
    <t>What kind of code would be generated if I changed the input prompt slightly—such as modifying the problem description, function name, or input constraints?</t>
  </si>
  <si>
    <t>How would the generated code differ if I specified a different data structure (e.g., use a list instead of a dictionary) or requested an iterative solution instead of a recursive one?</t>
  </si>
  <si>
    <t>What kind of code will be generated if I input a completely different coding problem or ask for a solution in a different programming language?</t>
  </si>
  <si>
    <t>How will the code generation model evolve over time—e.g., with updates, new training data, or fine-tuning? Will it improve in generating idiomatic code or adapting to newer libraries and language features?</t>
  </si>
  <si>
    <t>Can users or developers fine-tune or customize the model for a specific codebase, domain, or team coding standards? If yes, how can I do that safely and effectively?</t>
  </si>
  <si>
    <t>Why did the model choose a particular algorithm (e.g., BFS vs DFS) or avoid using a specific feature or library in the generated code? What data or training influenced that choice?</t>
  </si>
  <si>
    <t>What does it mean when the model output explanation says “attention weight,” “activation,” “temperature,” or “beam search”? How does that relate to the generated code?</t>
  </si>
  <si>
    <t>What kind of experiences or typical outcomes have other developers had when using this model for code generation? Are there known issues, best practices, or communities sharing insights?</t>
  </si>
  <si>
    <t>Any thoughts ....</t>
  </si>
  <si>
    <t>Yes</t>
  </si>
  <si>
    <t>CS/SE/AI PhD Degree</t>
  </si>
  <si>
    <t>Researcher, Software Engineer/ Developer/ Programmer, Software Quality Engineer/ Tester, Assistant/ Associate/Full Professor</t>
  </si>
  <si>
    <t>I am both using and engineering AI code generation models</t>
  </si>
  <si>
    <t>3 - 5 years</t>
  </si>
  <si>
    <t>GitHub Copilot, Cursor, ChatGPT (GPT-4, GPT-4o), Claude (Claude 3.5), Google Gemini, StarCoder / StarCoder2, PolyCoder, SantaCoder</t>
  </si>
  <si>
    <t>how different is this second survey from the first survey? Similar to the first survey, to trust the model and its generated code, the most important thing may still be test cases or proofs that show the generated code works.</t>
  </si>
  <si>
    <t>Computer Science</t>
  </si>
  <si>
    <t>Masters Degree</t>
  </si>
  <si>
    <t>Student, Software Engineer/ Developer/ Programmer</t>
  </si>
  <si>
    <t>I use AI code generation tools for writing code only</t>
  </si>
  <si>
    <t>1 to &lt; 2  years</t>
  </si>
  <si>
    <t>ChatGPT (GPT-4, GPT-4o), Meta Code Llama, DeepSeek Coder</t>
  </si>
  <si>
    <t>PhD Degree</t>
  </si>
  <si>
    <t>Researcher, ML Engineer/ AI Specialist</t>
  </si>
  <si>
    <t>I am both using and engineering AI code generation models, I evaluate the code generation models for trust and transparency</t>
  </si>
  <si>
    <t>2 to &lt; 5 years</t>
  </si>
  <si>
    <t>GitHub Copilot, ChatGPT (GPT-4, GPT-4o), Claude (Claude 3.5), Mistral AI / Codestral, Meta Code Llama</t>
  </si>
  <si>
    <t>Informative. Excited to see the survey summary results.</t>
  </si>
  <si>
    <t>Bachelors Degree</t>
  </si>
  <si>
    <t>Software Engineer/ Developer/ Programmer</t>
  </si>
  <si>
    <t>6 to &lt; 12 months</t>
  </si>
  <si>
    <t>ChatGPT (GPT-4, GPT-4o)</t>
  </si>
  <si>
    <t>Software Engineering</t>
  </si>
  <si>
    <t>Enrolled in PhD</t>
  </si>
  <si>
    <t>Student</t>
  </si>
  <si>
    <t>GitHub Copilot, ChatGPT (GPT-4, GPT-4o)</t>
  </si>
  <si>
    <t>GitHub Copilot, ChatGPT (GPT-4, GPT-4o), Claude (Claude 3.5), Google Gemini</t>
  </si>
  <si>
    <t>Undergraduate</t>
  </si>
  <si>
    <t>2 to &lt; 6 months</t>
  </si>
  <si>
    <t>ChatGPT (GPT-4, GPT-4o), Google Gemini</t>
  </si>
  <si>
    <t>Researcher, Assistant/ Associate/Full Professor</t>
  </si>
  <si>
    <t>Artificial Intelligence</t>
  </si>
  <si>
    <t>GitHub Copilot, Cursor, ChatGPT (GPT-4, GPT-4o), Claude (Claude 3.5), Google Gemini, DeepSeek Coder</t>
  </si>
  <si>
    <t>No any</t>
  </si>
  <si>
    <t>GitHub Copilot, ChatGPT (GPT-4, GPT-4o), Claude (Claude 3.5)</t>
  </si>
  <si>
    <t>Tabnine, ChatGPT (GPT-4, GPT-4o)</t>
  </si>
  <si>
    <t>Data Science</t>
  </si>
  <si>
    <t>ML Engineer/ AI Specialist</t>
  </si>
  <si>
    <t>5 years or more</t>
  </si>
  <si>
    <t>ChatGPT (GPT-4, GPT-4o), Google Gemini, DeepSeek Coder</t>
  </si>
  <si>
    <t>Researcher, Software Engineer/ Developer/ Programmer, ML Engineer/ AI Specialist</t>
  </si>
  <si>
    <t>GitHub Copilot, Codeium, ChatGPT (GPT-4, GPT-4o), Claude (Claude 3.5), Google Gemini, StarCoder / StarCoder2, DeepSeek Coder</t>
  </si>
  <si>
    <t>Researcher, Software Engineer/ Developer/ Programmer</t>
  </si>
  <si>
    <t>GitHub Copilot, Replit Ghostwriter, Cursor, ChatGPT (GPT-4, GPT-4o), Claude (Claude 3.5), Google Gemini, Mistral AI / Codestral, Meta Code Llama, DeepSeek Coder, IntelliCode</t>
  </si>
  <si>
    <t>Researcher</t>
  </si>
  <si>
    <t>I use AI code generation tools for writing code only, I develop or train AI models for code generation, I am both using and engineering AI code generation models</t>
  </si>
  <si>
    <t>Less than 2 months</t>
  </si>
  <si>
    <t>Codeium, ChatGPT (GPT-4, GPT-4o), Claude (Claude 3.5), Google Gemini, DeepSeek Coder</t>
  </si>
  <si>
    <t xml:space="preserve">Amazing </t>
  </si>
  <si>
    <t>MEAN</t>
  </si>
  <si>
    <t>MODE</t>
  </si>
  <si>
    <t>b</t>
  </si>
  <si>
    <t>g</t>
  </si>
  <si>
    <t>MIN</t>
  </si>
  <si>
    <t>MAX</t>
  </si>
  <si>
    <t>AVERAGE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</si>
</sst>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EFEFEF"/>
        <bgColor rgb="FFEFEFEF"/>
      </patternFill>
    </fill>
    <fill>
      <patternFill patternType="solid">
        <fgColor rgb="FFFFFF00"/>
        <bgColor rgb="FFFF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2" fontId="1" numFmtId="0" xfId="0" applyAlignment="1" applyFill="1" applyFont="1">
      <alignment readingOrder="0"/>
    </xf>
    <xf borderId="0" fillId="0" fontId="1" numFmtId="0" xfId="0" applyAlignment="1" applyFont="1">
      <alignment readingOrder="0"/>
    </xf>
    <xf borderId="0" fillId="2" fontId="1" numFmtId="0" xfId="0" applyAlignment="1" applyFont="1">
      <alignment readingOrder="0"/>
    </xf>
    <xf borderId="0" fillId="3" fontId="1" numFmtId="0" xfId="0" applyAlignment="1" applyFill="1" applyFont="1">
      <alignment readingOrder="0"/>
    </xf>
    <xf borderId="0" fillId="3" fontId="1" numFmtId="2" xfId="0" applyFont="1" applyNumberFormat="1"/>
    <xf borderId="0" fillId="2" fontId="1" numFmtId="2" xfId="0" applyFont="1" applyNumberFormat="1"/>
    <xf borderId="0" fillId="3" fontId="1" numFmtId="0" xfId="0" applyFont="1"/>
    <xf borderId="0" fillId="2" fontId="1" numFmtId="0" xfId="0" applyFont="1"/>
    <xf borderId="0" fillId="0" fontId="1" numFmtId="2" xfId="0" applyFont="1" applyNumberFormat="1"/>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H17" displayName="Form_Responses" name="Form_Responses" id="1">
  <tableColumns count="60">
    <tableColumn name="Timestamp" id="1"/>
    <tableColumn name=" Please select &quot;Yes&quot; to indicate you have read this information and you accept to take the survey:" id="2"/>
    <tableColumn name="Please indicate your education subject area" id="3"/>
    <tableColumn name="Please indicate your current education level " id="4"/>
    <tableColumn name="Please Indicate your current role" id="5"/>
    <tableColumn name="Please indicate your interaction with code generation models" id="6"/>
    <tableColumn name="Please indicate the time period during which you have been working with AI tools/models for code generation. " id="7"/>
    <tableColumn name="Which AI code generation models do you use or interact with" id="8"/>
    <tableColumn name="What kinds of code artifacts (e.g., functions, scripts, projects) were used to train the model?" id="9"/>
    <tableColumn name="Were the training code examples sourced from open-source repositories e.g., GitHub, Stack Overflow, textbooks, or proprietary datasets?" id="10"/>
    <tableColumn name="For supervised training tasks e.g., code summarization, translation, how were ground-truth labels or outputs defined and validated?" id="11"/>
    <tableColumn name="How many code files or code snippets were used to train the model?" id="12"/>
    <tableColumn name="Are there any known or commonly used code datasets e.g., HumanEval, CodeSearchNet that were explicitly excluded from training?" id="13"/>
    <tableColumn name="Does the training data favor specific programming languages, styles, domains e.g., web, systems, or coding conventions that may bias the model’s output?" id="14"/>
    <tableColumn name="What is the distribution of code samples by language, code length, project type, or complexity in the training dataset?" id="15"/>
    <tableColumn name="What kind of code outputs can the model generate—functions, full programs, configuration files, documentation, or test cases?" id="16"/>
    <tableColumn name="How should I interpret the generated code—does it represent a complete, executable solution or just a code snippet meant to be extended or integrated?" id="17"/>
    <tableColumn name="What code-related tasks can the model handle (e.g., code translation, completion, debugging, refactoring), and where are its known limitations?" id="18"/>
    <tableColumn name="How can the generated code be integrated into my existing development pipeline or tools (e.g., compilers, test frameworks, CI/CD)?" id="19"/>
    <tableColumn name="What are the best practices for reviewing, testing, or modifying the generated code before deploying it in production or submitting it to version control?" id="20"/>
    <tableColumn name="How can this model-generated code be used efficiently within my software development workflow (e.g., prototyping, learning, accelerating repetitive tasks)?" id="21"/>
    <tableColumn name="How accurate, syntactically correct, and semantically valid is the generated code? How reliable is it across different code tasks (e.g., translation, completion, test generation)?" id="22"/>
    <tableColumn name="How frequently does the model produce incorrect, incomplete, insecure, or non-compiling code?" id="23"/>
    <tableColumn name="Under what input conditions or code tasks (e.g., simple utility functions vs. complex algorithms) is the model more or less likely to produce correct outputs?" id="24"/>
    <tableColumn name="What are the known weaknesses of the model—e.g., poor handling of rare languages, advanced design patterns, or domain-specific APIs?" id="25"/>
    <tableColumn name="Does the model tend to introduce logic bugs, misuse libraries, ignore edge cases, or produce non-idiomatic code?" id="26"/>
    <tableColumn name="Is the model suitable for use in production-level code, educational purposes, rapid prototyping, or legacy code migration?" id="27"/>
    <tableColumn name="How does the neural network process source code or natural language input to generate corresponding code output?" id="28"/>
    <tableColumn name="What syntactic or semantic code features e.g., keywords, function signatures, code structure are important in guiding predictions?" id="29"/>
    <tableColumn name="Does the model consider [feature X], such as a specific variable, comment, or function call, in generating the output?" id="30"/>
    <tableColumn name="What are the high-level decision patterns or learned associations the model uses to predict code completions or transformations?" id="31"/>
    <tableColumn name="How much influence do different code tokens, AST nodes, or input types e.g., comments vs. code have on the model’s output?" id="32"/>
    <tableColumn name="Are there implicit patterns or rules the model tends to replicate, such as standard library usage or code idioms?" id="33"/>
    <tableColumn name="If we modify or remove [feature X], how is the generated code affected?" id="34"/>
    <tableColumn name="What are the most influential input patterns, syntax structures, or tokens that affect generation behavior?" id="35"/>
    <tableColumn name="What neural architecture underlies the model e.g., Transformer, LSTM? How does this affect its capacity to understand code?" id="36"/>
    <tableColumn name="What training strategies e.g., fine-tuning, pretraining and hyperparameter settings were used? What data was the model trained on?" id="37"/>
    <tableColumn name="Why did the model generate this specific code snippet for the given prompt or partial code? How did it arrive at this particular output among possible alternatives?" id="38"/>
    <tableColumn name="What aspects of the input (e.g., function name, comments, code context, natural language intent) influenced the model’s code generation most?" id="39"/>
    <tableColumn name="Why did the model generate the same or similar code for two different prompts or inputs (e.g., slightly different phrasing or variable names)? What common patterns led to this convergence?" id="40"/>
    <tableColumn name="Why didn’t the model generate a more efficient (or idiomatic, or expected) version of the code? Why was a particular API or construct not used in the generated code?" id="41"/>
    <tableColumn name="Why did the model choose this code structure or algorithm over another possible one (e.g., iteration vs recursion, quicksort vs mergesort)?" id="42"/>
    <tableColumn name="Why did similar input prompts/code snippets result in different outputs? What differences in input caused the model to generate distinct code?" id="43"/>
    <tableColumn name="How should I rephrase the prompt or modify the code snippet to generate a different kind of implementation (e.g., use a different library, algorithm, or coding style)?" id="44"/>
    <tableColumn name="What is the smallest modification to the input (e.g., parameter, comment, or keyword) needed to generate a significantly different version of code (e.g., with optimization, better readability, or fewer dependencies)?" id="45"/>
    <tableColumn name="How should I change a specific part of the input—like the function name, data type, or comment—for the model to generate code using a different method or abstraction?" id="46"/>
    <tableColumn name="What kind of prompt or code context typically leads the model to output more robust, idiomatic, or secure code compared to the one it gave now?" id="47"/>
    <tableColumn name="What changes can I make to the prompt or input code (e.g., reordering comments, using synonyms, changing formatting) that still result in the same generated code or logic?" id="48"/>
    <tableColumn name="How much can I vary elements like variable names, input types, or function structure before the model starts generating different code logic or structure?" id="49"/>
    <tableColumn name="What specific parts of the input (e.g., algorithm name, data structure, comment cues) are critical for ensuring that the generated code performs the same operation or uses the same technique?" id="50"/>
    <tableColumn name="What types of prompts or code snippets typically result in the same or similar generated code (e.g., same logic with different wording)?" id="51"/>
    <tableColumn name="What kind of code would be generated if I changed the input prompt slightly—such as modifying the problem description, function name, or input constraints?" id="52"/>
    <tableColumn name="How would the generated code differ if I specified a different data structure (e.g., use a list instead of a dictionary) or requested an iterative solution instead of a recursive one?" id="53"/>
    <tableColumn name="What kind of code will be generated if I input a completely different coding problem or ask for a solution in a different programming language?" id="54"/>
    <tableColumn name="How will the code generation model evolve over time—e.g., with updates, new training data, or fine-tuning? Will it improve in generating idiomatic code or adapting to newer libraries and language features?" id="55"/>
    <tableColumn name="Can users or developers fine-tune or customize the model for a specific codebase, domain, or team coding standards? If yes, how can I do that safely and effectively?" id="56"/>
    <tableColumn name="Why did the model choose a particular algorithm (e.g., BFS vs DFS) or avoid using a specific feature or library in the generated code? What data or training influenced that choice?" id="57"/>
    <tableColumn name="What does it mean when the model output explanation says “attention weight,” “activation,” “temperature,” or “beam search”? How does that relate to the generated code?" id="58"/>
    <tableColumn name="What kind of experiences or typical outcomes have other developers had when using this model for code generation? Are there known issues, best practices, or communities sharing insights?" id="59"/>
    <tableColumn name="Any thoughts ...." id="6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6.75"/>
    <col customWidth="1" min="4" max="4" width="37.13"/>
    <col customWidth="1" min="5" max="5" width="28.63"/>
    <col customWidth="1" min="6" max="59" width="37.63"/>
    <col customWidth="1" min="60" max="6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ht="22.5" customHeight="1">
      <c r="A2" s="2">
        <v>45901.664746875</v>
      </c>
      <c r="B2" s="3" t="s">
        <v>60</v>
      </c>
      <c r="C2" s="3" t="s">
        <v>61</v>
      </c>
      <c r="D2" s="4"/>
      <c r="E2" s="3" t="s">
        <v>62</v>
      </c>
      <c r="F2" s="3" t="s">
        <v>63</v>
      </c>
      <c r="G2" s="3" t="s">
        <v>64</v>
      </c>
      <c r="H2" s="3" t="s">
        <v>65</v>
      </c>
      <c r="I2" s="3">
        <v>5.0</v>
      </c>
      <c r="J2" s="3">
        <v>3.0</v>
      </c>
      <c r="K2" s="3">
        <v>5.0</v>
      </c>
      <c r="L2" s="3">
        <v>5.0</v>
      </c>
      <c r="M2" s="3">
        <v>2.0</v>
      </c>
      <c r="N2" s="3">
        <v>4.0</v>
      </c>
      <c r="O2" s="3">
        <v>2.0</v>
      </c>
      <c r="P2" s="3">
        <v>5.0</v>
      </c>
      <c r="Q2" s="3">
        <v>5.0</v>
      </c>
      <c r="R2" s="3">
        <v>5.0</v>
      </c>
      <c r="S2" s="3">
        <v>3.0</v>
      </c>
      <c r="T2" s="3">
        <v>4.0</v>
      </c>
      <c r="U2" s="3">
        <v>3.0</v>
      </c>
      <c r="V2" s="3">
        <v>5.0</v>
      </c>
      <c r="W2" s="3">
        <v>5.0</v>
      </c>
      <c r="X2" s="3">
        <v>5.0</v>
      </c>
      <c r="Y2" s="3">
        <v>5.0</v>
      </c>
      <c r="Z2" s="3">
        <v>5.0</v>
      </c>
      <c r="AA2" s="3">
        <v>4.0</v>
      </c>
      <c r="AB2" s="3">
        <v>4.0</v>
      </c>
      <c r="AC2" s="3">
        <v>4.0</v>
      </c>
      <c r="AD2" s="3">
        <v>4.0</v>
      </c>
      <c r="AE2" s="3">
        <v>4.0</v>
      </c>
      <c r="AF2" s="3">
        <v>3.0</v>
      </c>
      <c r="AG2" s="3">
        <v>3.0</v>
      </c>
      <c r="AH2" s="3">
        <v>3.0</v>
      </c>
      <c r="AI2" s="3">
        <v>4.0</v>
      </c>
      <c r="AJ2" s="3">
        <v>2.0</v>
      </c>
      <c r="AK2" s="3">
        <v>3.0</v>
      </c>
      <c r="AL2" s="3">
        <v>4.0</v>
      </c>
      <c r="AM2" s="3">
        <v>3.0</v>
      </c>
      <c r="AN2" s="3">
        <v>3.0</v>
      </c>
      <c r="AO2" s="3">
        <v>2.0</v>
      </c>
      <c r="AP2" s="3">
        <v>2.0</v>
      </c>
      <c r="AQ2" s="3">
        <v>4.0</v>
      </c>
      <c r="AR2" s="3">
        <v>4.0</v>
      </c>
      <c r="AS2" s="3">
        <v>3.0</v>
      </c>
      <c r="AT2" s="3">
        <v>4.0</v>
      </c>
      <c r="AU2" s="3">
        <v>4.0</v>
      </c>
      <c r="AV2" s="3">
        <v>2.0</v>
      </c>
      <c r="AW2" s="3">
        <v>2.0</v>
      </c>
      <c r="AX2" s="3">
        <v>4.0</v>
      </c>
      <c r="AY2" s="3">
        <v>2.0</v>
      </c>
      <c r="AZ2" s="3">
        <v>3.0</v>
      </c>
      <c r="BA2" s="3">
        <v>4.0</v>
      </c>
      <c r="BB2" s="3">
        <v>5.0</v>
      </c>
      <c r="BC2" s="3">
        <v>2.0</v>
      </c>
      <c r="BD2" s="3">
        <v>4.0</v>
      </c>
      <c r="BE2" s="3">
        <v>2.0</v>
      </c>
      <c r="BF2" s="3">
        <v>1.0</v>
      </c>
      <c r="BG2" s="3">
        <v>4.0</v>
      </c>
      <c r="BH2" s="3" t="s">
        <v>66</v>
      </c>
    </row>
    <row r="3" ht="22.5" customHeight="1">
      <c r="A3" s="2">
        <v>45901.970563634255</v>
      </c>
      <c r="B3" s="3" t="s">
        <v>60</v>
      </c>
      <c r="C3" s="3" t="s">
        <v>67</v>
      </c>
      <c r="D3" s="3" t="s">
        <v>68</v>
      </c>
      <c r="E3" s="3" t="s">
        <v>69</v>
      </c>
      <c r="F3" s="3" t="s">
        <v>70</v>
      </c>
      <c r="G3" s="3" t="s">
        <v>71</v>
      </c>
      <c r="H3" s="3" t="s">
        <v>72</v>
      </c>
      <c r="I3" s="3">
        <v>2.0</v>
      </c>
      <c r="J3" s="3">
        <v>2.0</v>
      </c>
      <c r="K3" s="3">
        <v>2.0</v>
      </c>
      <c r="L3" s="3">
        <v>2.0</v>
      </c>
      <c r="M3" s="3">
        <v>3.0</v>
      </c>
      <c r="N3" s="3">
        <v>3.0</v>
      </c>
      <c r="O3" s="3">
        <v>2.0</v>
      </c>
      <c r="P3" s="3">
        <v>3.0</v>
      </c>
      <c r="Q3" s="3">
        <v>3.0</v>
      </c>
      <c r="R3" s="3">
        <v>3.0</v>
      </c>
      <c r="S3" s="3">
        <v>4.0</v>
      </c>
      <c r="T3" s="3">
        <v>4.0</v>
      </c>
      <c r="U3" s="3">
        <v>4.0</v>
      </c>
      <c r="V3" s="3">
        <v>4.0</v>
      </c>
      <c r="W3" s="3">
        <v>3.0</v>
      </c>
      <c r="X3" s="3">
        <v>3.0</v>
      </c>
      <c r="Y3" s="3">
        <v>2.0</v>
      </c>
      <c r="Z3" s="3">
        <v>3.0</v>
      </c>
      <c r="AA3" s="3">
        <v>4.0</v>
      </c>
      <c r="AB3" s="3">
        <v>2.0</v>
      </c>
      <c r="AC3" s="3">
        <v>2.0</v>
      </c>
      <c r="AD3" s="3">
        <v>4.0</v>
      </c>
      <c r="AE3" s="3">
        <v>2.0</v>
      </c>
      <c r="AF3" s="3">
        <v>2.0</v>
      </c>
      <c r="AG3" s="3">
        <v>3.0</v>
      </c>
      <c r="AH3" s="3">
        <v>4.0</v>
      </c>
      <c r="AI3" s="3">
        <v>3.0</v>
      </c>
      <c r="AJ3" s="3">
        <v>2.0</v>
      </c>
      <c r="AK3" s="3">
        <v>2.0</v>
      </c>
      <c r="AL3" s="3">
        <v>4.0</v>
      </c>
      <c r="AM3" s="3">
        <v>3.0</v>
      </c>
      <c r="AN3" s="3">
        <v>3.0</v>
      </c>
      <c r="AO3" s="3">
        <v>4.0</v>
      </c>
      <c r="AP3" s="3">
        <v>4.0</v>
      </c>
      <c r="AQ3" s="3">
        <v>3.0</v>
      </c>
      <c r="AR3" s="3">
        <v>4.0</v>
      </c>
      <c r="AS3" s="3">
        <v>4.0</v>
      </c>
      <c r="AT3" s="3">
        <v>4.0</v>
      </c>
      <c r="AU3" s="3">
        <v>4.0</v>
      </c>
      <c r="AV3" s="3">
        <v>4.0</v>
      </c>
      <c r="AW3" s="3">
        <v>3.0</v>
      </c>
      <c r="AX3" s="3">
        <v>4.0</v>
      </c>
      <c r="AY3" s="3">
        <v>3.0</v>
      </c>
      <c r="AZ3" s="3">
        <v>4.0</v>
      </c>
      <c r="BA3" s="3">
        <v>4.0</v>
      </c>
      <c r="BB3" s="3">
        <v>4.0</v>
      </c>
      <c r="BC3" s="3">
        <v>2.0</v>
      </c>
      <c r="BD3" s="3">
        <v>3.0</v>
      </c>
      <c r="BE3" s="3">
        <v>4.0</v>
      </c>
      <c r="BF3" s="3">
        <v>2.0</v>
      </c>
      <c r="BG3" s="3">
        <v>3.0</v>
      </c>
      <c r="BH3" s="4"/>
    </row>
    <row r="4" ht="22.5" customHeight="1">
      <c r="A4" s="2">
        <v>45902.41344907407</v>
      </c>
      <c r="B4" s="3" t="s">
        <v>60</v>
      </c>
      <c r="C4" s="3" t="s">
        <v>67</v>
      </c>
      <c r="D4" s="3" t="s">
        <v>73</v>
      </c>
      <c r="E4" s="3" t="s">
        <v>74</v>
      </c>
      <c r="F4" s="3" t="s">
        <v>75</v>
      </c>
      <c r="G4" s="3" t="s">
        <v>76</v>
      </c>
      <c r="H4" s="3" t="s">
        <v>77</v>
      </c>
      <c r="I4" s="3">
        <v>5.0</v>
      </c>
      <c r="J4" s="3">
        <v>5.0</v>
      </c>
      <c r="K4" s="3">
        <v>5.0</v>
      </c>
      <c r="L4" s="3">
        <v>5.0</v>
      </c>
      <c r="M4" s="3">
        <v>5.0</v>
      </c>
      <c r="N4" s="3">
        <v>5.0</v>
      </c>
      <c r="O4" s="3">
        <v>5.0</v>
      </c>
      <c r="P4" s="3">
        <v>5.0</v>
      </c>
      <c r="Q4" s="3">
        <v>5.0</v>
      </c>
      <c r="R4" s="3">
        <v>5.0</v>
      </c>
      <c r="S4" s="3">
        <v>5.0</v>
      </c>
      <c r="T4" s="3">
        <v>5.0</v>
      </c>
      <c r="U4" s="3">
        <v>5.0</v>
      </c>
      <c r="V4" s="3">
        <v>5.0</v>
      </c>
      <c r="W4" s="3">
        <v>5.0</v>
      </c>
      <c r="X4" s="3">
        <v>5.0</v>
      </c>
      <c r="Y4" s="3">
        <v>5.0</v>
      </c>
      <c r="Z4" s="3">
        <v>5.0</v>
      </c>
      <c r="AA4" s="3">
        <v>5.0</v>
      </c>
      <c r="AB4" s="3">
        <v>4.0</v>
      </c>
      <c r="AC4" s="3">
        <v>5.0</v>
      </c>
      <c r="AD4" s="3">
        <v>4.0</v>
      </c>
      <c r="AE4" s="3">
        <v>4.0</v>
      </c>
      <c r="AF4" s="3">
        <v>4.0</v>
      </c>
      <c r="AG4" s="3">
        <v>5.0</v>
      </c>
      <c r="AH4" s="3">
        <v>4.0</v>
      </c>
      <c r="AI4" s="3">
        <v>5.0</v>
      </c>
      <c r="AJ4" s="3">
        <v>4.0</v>
      </c>
      <c r="AK4" s="3">
        <v>4.0</v>
      </c>
      <c r="AL4" s="3">
        <v>5.0</v>
      </c>
      <c r="AM4" s="3">
        <v>5.0</v>
      </c>
      <c r="AN4" s="3">
        <v>5.0</v>
      </c>
      <c r="AO4" s="3">
        <v>5.0</v>
      </c>
      <c r="AP4" s="3">
        <v>5.0</v>
      </c>
      <c r="AQ4" s="3">
        <v>5.0</v>
      </c>
      <c r="AR4" s="3">
        <v>5.0</v>
      </c>
      <c r="AS4" s="3">
        <v>4.0</v>
      </c>
      <c r="AT4" s="3">
        <v>4.0</v>
      </c>
      <c r="AU4" s="3">
        <v>5.0</v>
      </c>
      <c r="AV4" s="3">
        <v>4.0</v>
      </c>
      <c r="AW4" s="3">
        <v>4.0</v>
      </c>
      <c r="AX4" s="3">
        <v>4.0</v>
      </c>
      <c r="AY4" s="3">
        <v>5.0</v>
      </c>
      <c r="AZ4" s="3">
        <v>4.0</v>
      </c>
      <c r="BA4" s="3">
        <v>4.0</v>
      </c>
      <c r="BB4" s="3">
        <v>5.0</v>
      </c>
      <c r="BC4" s="3">
        <v>5.0</v>
      </c>
      <c r="BD4" s="3">
        <v>5.0</v>
      </c>
      <c r="BE4" s="3">
        <v>5.0</v>
      </c>
      <c r="BF4" s="3">
        <v>4.0</v>
      </c>
      <c r="BG4" s="3">
        <v>5.0</v>
      </c>
      <c r="BH4" s="3" t="s">
        <v>78</v>
      </c>
    </row>
    <row r="5" ht="22.5" customHeight="1">
      <c r="A5" s="2">
        <v>45903.339491921295</v>
      </c>
      <c r="B5" s="3" t="s">
        <v>60</v>
      </c>
      <c r="C5" s="3" t="s">
        <v>67</v>
      </c>
      <c r="D5" s="3" t="s">
        <v>79</v>
      </c>
      <c r="E5" s="3" t="s">
        <v>80</v>
      </c>
      <c r="F5" s="3" t="s">
        <v>63</v>
      </c>
      <c r="G5" s="3" t="s">
        <v>81</v>
      </c>
      <c r="H5" s="3" t="s">
        <v>82</v>
      </c>
      <c r="I5" s="3">
        <v>4.0</v>
      </c>
      <c r="J5" s="3">
        <v>4.0</v>
      </c>
      <c r="K5" s="3">
        <v>4.0</v>
      </c>
      <c r="L5" s="3">
        <v>5.0</v>
      </c>
      <c r="M5" s="3">
        <v>4.0</v>
      </c>
      <c r="N5" s="3">
        <v>4.0</v>
      </c>
      <c r="O5" s="3">
        <v>3.0</v>
      </c>
      <c r="P5" s="3">
        <v>4.0</v>
      </c>
      <c r="Q5" s="3">
        <v>4.0</v>
      </c>
      <c r="R5" s="3">
        <v>5.0</v>
      </c>
      <c r="S5" s="3">
        <v>4.0</v>
      </c>
      <c r="T5" s="3">
        <v>4.0</v>
      </c>
      <c r="U5" s="3">
        <v>4.0</v>
      </c>
      <c r="V5" s="3">
        <v>4.0</v>
      </c>
      <c r="W5" s="3">
        <v>5.0</v>
      </c>
      <c r="X5" s="3">
        <v>4.0</v>
      </c>
      <c r="Y5" s="3">
        <v>5.0</v>
      </c>
      <c r="Z5" s="3">
        <v>4.0</v>
      </c>
      <c r="AA5" s="3">
        <v>4.0</v>
      </c>
      <c r="AB5" s="3">
        <v>3.0</v>
      </c>
      <c r="AC5" s="3">
        <v>4.0</v>
      </c>
      <c r="AD5" s="3">
        <v>3.0</v>
      </c>
      <c r="AE5" s="3">
        <v>5.0</v>
      </c>
      <c r="AF5" s="3">
        <v>3.0</v>
      </c>
      <c r="AG5" s="3">
        <v>4.0</v>
      </c>
      <c r="AH5" s="3">
        <v>3.0</v>
      </c>
      <c r="AI5" s="3">
        <v>4.0</v>
      </c>
      <c r="AJ5" s="3">
        <v>5.0</v>
      </c>
      <c r="AK5" s="3">
        <v>4.0</v>
      </c>
      <c r="AL5" s="3">
        <v>4.0</v>
      </c>
      <c r="AM5" s="3">
        <v>4.0</v>
      </c>
      <c r="AN5" s="3">
        <v>4.0</v>
      </c>
      <c r="AO5" s="3">
        <v>4.0</v>
      </c>
      <c r="AP5" s="3">
        <v>4.0</v>
      </c>
      <c r="AQ5" s="3">
        <v>5.0</v>
      </c>
      <c r="AR5" s="3">
        <v>4.0</v>
      </c>
      <c r="AS5" s="3">
        <v>4.0</v>
      </c>
      <c r="AT5" s="3">
        <v>4.0</v>
      </c>
      <c r="AU5" s="3">
        <v>4.0</v>
      </c>
      <c r="AV5" s="3">
        <v>4.0</v>
      </c>
      <c r="AW5" s="3">
        <v>4.0</v>
      </c>
      <c r="AX5" s="3">
        <v>4.0</v>
      </c>
      <c r="AY5" s="3">
        <v>4.0</v>
      </c>
      <c r="AZ5" s="3">
        <v>4.0</v>
      </c>
      <c r="BA5" s="3">
        <v>4.0</v>
      </c>
      <c r="BB5" s="3">
        <v>4.0</v>
      </c>
      <c r="BC5" s="3">
        <v>4.0</v>
      </c>
      <c r="BD5" s="3">
        <v>5.0</v>
      </c>
      <c r="BE5" s="3">
        <v>4.0</v>
      </c>
      <c r="BF5" s="3">
        <v>4.0</v>
      </c>
      <c r="BG5" s="3">
        <v>4.0</v>
      </c>
      <c r="BH5" s="4"/>
    </row>
    <row r="6" ht="22.5" customHeight="1">
      <c r="A6" s="2">
        <v>45904.4633958912</v>
      </c>
      <c r="B6" s="3" t="s">
        <v>60</v>
      </c>
      <c r="C6" s="3" t="s">
        <v>83</v>
      </c>
      <c r="D6" s="3" t="s">
        <v>84</v>
      </c>
      <c r="E6" s="3" t="s">
        <v>85</v>
      </c>
      <c r="F6" s="3" t="s">
        <v>63</v>
      </c>
      <c r="G6" s="3" t="s">
        <v>76</v>
      </c>
      <c r="H6" s="3" t="s">
        <v>86</v>
      </c>
      <c r="I6" s="3">
        <v>5.0</v>
      </c>
      <c r="J6" s="3">
        <v>5.0</v>
      </c>
      <c r="K6" s="3">
        <v>5.0</v>
      </c>
      <c r="L6" s="3">
        <v>5.0</v>
      </c>
      <c r="M6" s="3">
        <v>3.0</v>
      </c>
      <c r="N6" s="3">
        <v>3.0</v>
      </c>
      <c r="O6" s="3">
        <v>4.0</v>
      </c>
      <c r="P6" s="3">
        <v>4.0</v>
      </c>
      <c r="Q6" s="3">
        <v>4.0</v>
      </c>
      <c r="R6" s="3">
        <v>4.0</v>
      </c>
      <c r="S6" s="3">
        <v>4.0</v>
      </c>
      <c r="T6" s="3">
        <v>5.0</v>
      </c>
      <c r="U6" s="3">
        <v>5.0</v>
      </c>
      <c r="V6" s="3">
        <v>5.0</v>
      </c>
      <c r="W6" s="3">
        <v>5.0</v>
      </c>
      <c r="X6" s="3">
        <v>5.0</v>
      </c>
      <c r="Y6" s="3">
        <v>5.0</v>
      </c>
      <c r="Z6" s="3">
        <v>5.0</v>
      </c>
      <c r="AA6" s="3">
        <v>4.0</v>
      </c>
      <c r="AB6" s="3">
        <v>5.0</v>
      </c>
      <c r="AC6" s="3">
        <v>4.0</v>
      </c>
      <c r="AD6" s="3">
        <v>5.0</v>
      </c>
      <c r="AE6" s="3">
        <v>4.0</v>
      </c>
      <c r="AF6" s="3">
        <v>4.0</v>
      </c>
      <c r="AG6" s="3">
        <v>4.0</v>
      </c>
      <c r="AH6" s="3">
        <v>5.0</v>
      </c>
      <c r="AI6" s="3">
        <v>5.0</v>
      </c>
      <c r="AJ6" s="3">
        <v>5.0</v>
      </c>
      <c r="AK6" s="3">
        <v>4.0</v>
      </c>
      <c r="AL6" s="3">
        <v>5.0</v>
      </c>
      <c r="AM6" s="3">
        <v>5.0</v>
      </c>
      <c r="AN6" s="3">
        <v>4.0</v>
      </c>
      <c r="AO6" s="3">
        <v>5.0</v>
      </c>
      <c r="AP6" s="3">
        <v>5.0</v>
      </c>
      <c r="AQ6" s="3">
        <v>5.0</v>
      </c>
      <c r="AR6" s="3">
        <v>5.0</v>
      </c>
      <c r="AS6" s="3">
        <v>4.0</v>
      </c>
      <c r="AT6" s="3">
        <v>4.0</v>
      </c>
      <c r="AU6" s="3">
        <v>4.0</v>
      </c>
      <c r="AV6" s="3">
        <v>4.0</v>
      </c>
      <c r="AW6" s="3">
        <v>3.0</v>
      </c>
      <c r="AX6" s="3">
        <v>5.0</v>
      </c>
      <c r="AY6" s="3">
        <v>3.0</v>
      </c>
      <c r="AZ6" s="3">
        <v>4.0</v>
      </c>
      <c r="BA6" s="3">
        <v>4.0</v>
      </c>
      <c r="BB6" s="3">
        <v>4.0</v>
      </c>
      <c r="BC6" s="3">
        <v>4.0</v>
      </c>
      <c r="BD6" s="3">
        <v>4.0</v>
      </c>
      <c r="BE6" s="3">
        <v>4.0</v>
      </c>
      <c r="BF6" s="3">
        <v>3.0</v>
      </c>
      <c r="BG6" s="3">
        <v>4.0</v>
      </c>
      <c r="BH6" s="4"/>
    </row>
    <row r="7" ht="22.5" customHeight="1">
      <c r="A7" s="2">
        <v>45904.52031328704</v>
      </c>
      <c r="B7" s="3" t="s">
        <v>60</v>
      </c>
      <c r="C7" s="3" t="s">
        <v>67</v>
      </c>
      <c r="D7" s="3" t="s">
        <v>79</v>
      </c>
      <c r="E7" s="3" t="s">
        <v>80</v>
      </c>
      <c r="F7" s="3" t="s">
        <v>70</v>
      </c>
      <c r="G7" s="3" t="s">
        <v>76</v>
      </c>
      <c r="H7" s="3" t="s">
        <v>87</v>
      </c>
      <c r="I7" s="3">
        <v>5.0</v>
      </c>
      <c r="J7" s="3">
        <v>5.0</v>
      </c>
      <c r="K7" s="3">
        <v>5.0</v>
      </c>
      <c r="L7" s="3">
        <v>4.0</v>
      </c>
      <c r="M7" s="3">
        <v>4.0</v>
      </c>
      <c r="N7" s="3">
        <v>5.0</v>
      </c>
      <c r="O7" s="3">
        <v>5.0</v>
      </c>
      <c r="P7" s="3">
        <v>5.0</v>
      </c>
      <c r="Q7" s="3">
        <v>3.0</v>
      </c>
      <c r="R7" s="3">
        <v>4.0</v>
      </c>
      <c r="S7" s="3">
        <v>5.0</v>
      </c>
      <c r="T7" s="3">
        <v>5.0</v>
      </c>
      <c r="U7" s="3">
        <v>5.0</v>
      </c>
      <c r="V7" s="3">
        <v>4.0</v>
      </c>
      <c r="W7" s="3">
        <v>5.0</v>
      </c>
      <c r="X7" s="3">
        <v>4.0</v>
      </c>
      <c r="Y7" s="3">
        <v>5.0</v>
      </c>
      <c r="Z7" s="3">
        <v>5.0</v>
      </c>
      <c r="AA7" s="3">
        <v>4.0</v>
      </c>
      <c r="AB7" s="3">
        <v>5.0</v>
      </c>
      <c r="AC7" s="3">
        <v>4.0</v>
      </c>
      <c r="AD7" s="3">
        <v>5.0</v>
      </c>
      <c r="AE7" s="3">
        <v>5.0</v>
      </c>
      <c r="AF7" s="3">
        <v>4.0</v>
      </c>
      <c r="AG7" s="3">
        <v>5.0</v>
      </c>
      <c r="AH7" s="3">
        <v>5.0</v>
      </c>
      <c r="AI7" s="3">
        <v>5.0</v>
      </c>
      <c r="AJ7" s="3">
        <v>4.0</v>
      </c>
      <c r="AK7" s="3">
        <v>5.0</v>
      </c>
      <c r="AL7" s="3">
        <v>4.0</v>
      </c>
      <c r="AM7" s="3">
        <v>5.0</v>
      </c>
      <c r="AN7" s="3">
        <v>4.0</v>
      </c>
      <c r="AO7" s="3">
        <v>5.0</v>
      </c>
      <c r="AP7" s="3">
        <v>5.0</v>
      </c>
      <c r="AQ7" s="3">
        <v>5.0</v>
      </c>
      <c r="AR7" s="3">
        <v>5.0</v>
      </c>
      <c r="AS7" s="3">
        <v>5.0</v>
      </c>
      <c r="AT7" s="3">
        <v>5.0</v>
      </c>
      <c r="AU7" s="3">
        <v>4.0</v>
      </c>
      <c r="AV7" s="3">
        <v>5.0</v>
      </c>
      <c r="AW7" s="3">
        <v>5.0</v>
      </c>
      <c r="AX7" s="3">
        <v>4.0</v>
      </c>
      <c r="AY7" s="3">
        <v>5.0</v>
      </c>
      <c r="AZ7" s="3">
        <v>4.0</v>
      </c>
      <c r="BA7" s="3">
        <v>5.0</v>
      </c>
      <c r="BB7" s="3">
        <v>4.0</v>
      </c>
      <c r="BC7" s="3">
        <v>5.0</v>
      </c>
      <c r="BD7" s="3">
        <v>4.0</v>
      </c>
      <c r="BE7" s="3">
        <v>5.0</v>
      </c>
      <c r="BF7" s="3">
        <v>4.0</v>
      </c>
      <c r="BG7" s="3">
        <v>5.0</v>
      </c>
      <c r="BH7" s="4"/>
    </row>
    <row r="8" ht="22.5" customHeight="1">
      <c r="A8" s="2">
        <v>45904.75688987269</v>
      </c>
      <c r="B8" s="3" t="s">
        <v>60</v>
      </c>
      <c r="C8" s="3" t="s">
        <v>67</v>
      </c>
      <c r="D8" s="3" t="s">
        <v>88</v>
      </c>
      <c r="E8" s="3" t="s">
        <v>80</v>
      </c>
      <c r="F8" s="3" t="s">
        <v>70</v>
      </c>
      <c r="G8" s="3" t="s">
        <v>89</v>
      </c>
      <c r="H8" s="3" t="s">
        <v>90</v>
      </c>
      <c r="I8" s="3">
        <v>3.0</v>
      </c>
      <c r="J8" s="3">
        <v>3.0</v>
      </c>
      <c r="K8" s="3">
        <v>5.0</v>
      </c>
      <c r="L8" s="3">
        <v>2.0</v>
      </c>
      <c r="M8" s="3">
        <v>2.0</v>
      </c>
      <c r="N8" s="3">
        <v>4.0</v>
      </c>
      <c r="O8" s="3">
        <v>3.0</v>
      </c>
      <c r="P8" s="3">
        <v>2.0</v>
      </c>
      <c r="Q8" s="3">
        <v>5.0</v>
      </c>
      <c r="R8" s="3">
        <v>1.0</v>
      </c>
      <c r="S8" s="3">
        <v>3.0</v>
      </c>
      <c r="T8" s="3">
        <v>3.0</v>
      </c>
      <c r="U8" s="3">
        <v>1.0</v>
      </c>
      <c r="V8" s="3">
        <v>1.0</v>
      </c>
      <c r="W8" s="3">
        <v>1.0</v>
      </c>
      <c r="X8" s="3">
        <v>1.0</v>
      </c>
      <c r="Y8" s="3">
        <v>1.0</v>
      </c>
      <c r="Z8" s="3">
        <v>1.0</v>
      </c>
      <c r="AA8" s="3">
        <v>1.0</v>
      </c>
      <c r="AB8" s="3">
        <v>5.0</v>
      </c>
      <c r="AC8" s="3">
        <v>3.0</v>
      </c>
      <c r="AD8" s="3">
        <v>4.0</v>
      </c>
      <c r="AE8" s="3">
        <v>4.0</v>
      </c>
      <c r="AF8" s="3">
        <v>4.0</v>
      </c>
      <c r="AG8" s="3">
        <v>4.0</v>
      </c>
      <c r="AH8" s="3">
        <v>3.0</v>
      </c>
      <c r="AI8" s="3">
        <v>4.0</v>
      </c>
      <c r="AJ8" s="3">
        <v>3.0</v>
      </c>
      <c r="AK8" s="3">
        <v>3.0</v>
      </c>
      <c r="AL8" s="3">
        <v>3.0</v>
      </c>
      <c r="AM8" s="3">
        <v>3.0</v>
      </c>
      <c r="AN8" s="3">
        <v>3.0</v>
      </c>
      <c r="AO8" s="3">
        <v>3.0</v>
      </c>
      <c r="AP8" s="3">
        <v>3.0</v>
      </c>
      <c r="AQ8" s="3">
        <v>3.0</v>
      </c>
      <c r="AR8" s="3">
        <v>5.0</v>
      </c>
      <c r="AS8" s="3">
        <v>5.0</v>
      </c>
      <c r="AT8" s="3">
        <v>5.0</v>
      </c>
      <c r="AU8" s="3">
        <v>5.0</v>
      </c>
      <c r="AV8" s="3">
        <v>5.0</v>
      </c>
      <c r="AW8" s="3">
        <v>5.0</v>
      </c>
      <c r="AX8" s="3">
        <v>5.0</v>
      </c>
      <c r="AY8" s="3">
        <v>4.0</v>
      </c>
      <c r="AZ8" s="3">
        <v>5.0</v>
      </c>
      <c r="BA8" s="3">
        <v>5.0</v>
      </c>
      <c r="BB8" s="3">
        <v>5.0</v>
      </c>
      <c r="BC8" s="3">
        <v>4.0</v>
      </c>
      <c r="BD8" s="3">
        <v>2.0</v>
      </c>
      <c r="BE8" s="3">
        <v>2.0</v>
      </c>
      <c r="BF8" s="3">
        <v>2.0</v>
      </c>
      <c r="BG8" s="3">
        <v>2.0</v>
      </c>
      <c r="BH8" s="4"/>
    </row>
    <row r="9" ht="22.5" customHeight="1">
      <c r="A9" s="2">
        <v>45908.35446915509</v>
      </c>
      <c r="B9" s="3" t="s">
        <v>60</v>
      </c>
      <c r="C9" s="3" t="s">
        <v>83</v>
      </c>
      <c r="D9" s="3" t="s">
        <v>73</v>
      </c>
      <c r="E9" s="3" t="s">
        <v>91</v>
      </c>
      <c r="F9" s="3" t="s">
        <v>70</v>
      </c>
      <c r="G9" s="3" t="s">
        <v>71</v>
      </c>
      <c r="H9" s="3" t="s">
        <v>86</v>
      </c>
      <c r="I9" s="3">
        <v>5.0</v>
      </c>
      <c r="J9" s="3">
        <v>5.0</v>
      </c>
      <c r="K9" s="3">
        <v>5.0</v>
      </c>
      <c r="L9" s="3">
        <v>5.0</v>
      </c>
      <c r="M9" s="3">
        <v>5.0</v>
      </c>
      <c r="N9" s="3">
        <v>5.0</v>
      </c>
      <c r="O9" s="3">
        <v>5.0</v>
      </c>
      <c r="P9" s="3">
        <v>5.0</v>
      </c>
      <c r="Q9" s="3">
        <v>5.0</v>
      </c>
      <c r="R9" s="3">
        <v>5.0</v>
      </c>
      <c r="S9" s="3">
        <v>5.0</v>
      </c>
      <c r="T9" s="3">
        <v>5.0</v>
      </c>
      <c r="U9" s="3">
        <v>5.0</v>
      </c>
      <c r="V9" s="3">
        <v>5.0</v>
      </c>
      <c r="W9" s="3">
        <v>5.0</v>
      </c>
      <c r="X9" s="3">
        <v>5.0</v>
      </c>
      <c r="Y9" s="3">
        <v>5.0</v>
      </c>
      <c r="Z9" s="3">
        <v>5.0</v>
      </c>
      <c r="AA9" s="3">
        <v>5.0</v>
      </c>
      <c r="AB9" s="3">
        <v>5.0</v>
      </c>
      <c r="AC9" s="3">
        <v>5.0</v>
      </c>
      <c r="AD9" s="3">
        <v>5.0</v>
      </c>
      <c r="AE9" s="3">
        <v>5.0</v>
      </c>
      <c r="AF9" s="3">
        <v>5.0</v>
      </c>
      <c r="AG9" s="3">
        <v>5.0</v>
      </c>
      <c r="AH9" s="3">
        <v>5.0</v>
      </c>
      <c r="AI9" s="3">
        <v>5.0</v>
      </c>
      <c r="AJ9" s="3">
        <v>5.0</v>
      </c>
      <c r="AK9" s="3">
        <v>5.0</v>
      </c>
      <c r="AL9" s="3">
        <v>5.0</v>
      </c>
      <c r="AM9" s="3">
        <v>5.0</v>
      </c>
      <c r="AN9" s="3">
        <v>5.0</v>
      </c>
      <c r="AO9" s="3">
        <v>5.0</v>
      </c>
      <c r="AP9" s="3">
        <v>5.0</v>
      </c>
      <c r="AQ9" s="3">
        <v>5.0</v>
      </c>
      <c r="AR9" s="3">
        <v>5.0</v>
      </c>
      <c r="AS9" s="3">
        <v>5.0</v>
      </c>
      <c r="AT9" s="3">
        <v>5.0</v>
      </c>
      <c r="AU9" s="3">
        <v>5.0</v>
      </c>
      <c r="AV9" s="3">
        <v>5.0</v>
      </c>
      <c r="AW9" s="3">
        <v>5.0</v>
      </c>
      <c r="AX9" s="3">
        <v>5.0</v>
      </c>
      <c r="AY9" s="3">
        <v>5.0</v>
      </c>
      <c r="AZ9" s="3">
        <v>5.0</v>
      </c>
      <c r="BA9" s="3">
        <v>5.0</v>
      </c>
      <c r="BB9" s="3">
        <v>5.0</v>
      </c>
      <c r="BC9" s="3">
        <v>5.0</v>
      </c>
      <c r="BD9" s="3">
        <v>5.0</v>
      </c>
      <c r="BE9" s="3">
        <v>5.0</v>
      </c>
      <c r="BF9" s="3">
        <v>5.0</v>
      </c>
      <c r="BG9" s="3">
        <v>5.0</v>
      </c>
      <c r="BH9" s="4"/>
    </row>
    <row r="10" ht="22.5" customHeight="1">
      <c r="A10" s="2">
        <v>45912.541381076386</v>
      </c>
      <c r="B10" s="3" t="s">
        <v>60</v>
      </c>
      <c r="C10" s="3" t="s">
        <v>92</v>
      </c>
      <c r="D10" s="3" t="s">
        <v>79</v>
      </c>
      <c r="E10" s="3" t="s">
        <v>74</v>
      </c>
      <c r="F10" s="3" t="s">
        <v>70</v>
      </c>
      <c r="G10" s="3" t="s">
        <v>76</v>
      </c>
      <c r="H10" s="3" t="s">
        <v>93</v>
      </c>
      <c r="I10" s="3">
        <v>5.0</v>
      </c>
      <c r="J10" s="3">
        <v>4.0</v>
      </c>
      <c r="K10" s="3">
        <v>4.0</v>
      </c>
      <c r="L10" s="3">
        <v>4.0</v>
      </c>
      <c r="M10" s="3">
        <v>4.0</v>
      </c>
      <c r="N10" s="3">
        <v>4.0</v>
      </c>
      <c r="O10" s="3">
        <v>4.0</v>
      </c>
      <c r="P10" s="3">
        <v>4.0</v>
      </c>
      <c r="Q10" s="3">
        <v>4.0</v>
      </c>
      <c r="R10" s="3">
        <v>4.0</v>
      </c>
      <c r="S10" s="3">
        <v>5.0</v>
      </c>
      <c r="T10" s="3">
        <v>4.0</v>
      </c>
      <c r="U10" s="3">
        <v>4.0</v>
      </c>
      <c r="V10" s="3">
        <v>4.0</v>
      </c>
      <c r="W10" s="3">
        <v>3.0</v>
      </c>
      <c r="X10" s="3">
        <v>5.0</v>
      </c>
      <c r="Y10" s="3">
        <v>4.0</v>
      </c>
      <c r="Z10" s="3">
        <v>4.0</v>
      </c>
      <c r="AA10" s="3">
        <v>4.0</v>
      </c>
      <c r="AB10" s="3">
        <v>4.0</v>
      </c>
      <c r="AC10" s="3">
        <v>5.0</v>
      </c>
      <c r="AD10" s="3">
        <v>4.0</v>
      </c>
      <c r="AE10" s="3">
        <v>4.0</v>
      </c>
      <c r="AF10" s="3">
        <v>4.0</v>
      </c>
      <c r="AG10" s="3">
        <v>4.0</v>
      </c>
      <c r="AH10" s="3">
        <v>3.0</v>
      </c>
      <c r="AI10" s="3">
        <v>4.0</v>
      </c>
      <c r="AJ10" s="3">
        <v>4.0</v>
      </c>
      <c r="AK10" s="3">
        <v>5.0</v>
      </c>
      <c r="AL10" s="3">
        <v>4.0</v>
      </c>
      <c r="AM10" s="3">
        <v>4.0</v>
      </c>
      <c r="AN10" s="3">
        <v>4.0</v>
      </c>
      <c r="AO10" s="3">
        <v>4.0</v>
      </c>
      <c r="AP10" s="3">
        <v>3.0</v>
      </c>
      <c r="AQ10" s="3">
        <v>4.0</v>
      </c>
      <c r="AR10" s="3">
        <v>4.0</v>
      </c>
      <c r="AS10" s="3">
        <v>4.0</v>
      </c>
      <c r="AT10" s="3">
        <v>4.0</v>
      </c>
      <c r="AU10" s="3">
        <v>4.0</v>
      </c>
      <c r="AV10" s="3">
        <v>4.0</v>
      </c>
      <c r="AW10" s="3">
        <v>4.0</v>
      </c>
      <c r="AX10" s="3">
        <v>4.0</v>
      </c>
      <c r="AY10" s="3">
        <v>4.0</v>
      </c>
      <c r="AZ10" s="3">
        <v>4.0</v>
      </c>
      <c r="BA10" s="3">
        <v>4.0</v>
      </c>
      <c r="BB10" s="3">
        <v>4.0</v>
      </c>
      <c r="BC10" s="3">
        <v>4.0</v>
      </c>
      <c r="BD10" s="3">
        <v>4.0</v>
      </c>
      <c r="BE10" s="3">
        <v>4.0</v>
      </c>
      <c r="BF10" s="3">
        <v>4.0</v>
      </c>
      <c r="BG10" s="3">
        <v>4.0</v>
      </c>
      <c r="BH10" s="3" t="s">
        <v>94</v>
      </c>
    </row>
    <row r="11" ht="22.5" customHeight="1">
      <c r="A11" s="2">
        <v>45912.99385914352</v>
      </c>
      <c r="B11" s="3" t="s">
        <v>60</v>
      </c>
      <c r="C11" s="3" t="s">
        <v>67</v>
      </c>
      <c r="D11" s="3" t="s">
        <v>79</v>
      </c>
      <c r="E11" s="3" t="s">
        <v>80</v>
      </c>
      <c r="F11" s="3" t="s">
        <v>70</v>
      </c>
      <c r="G11" s="3" t="s">
        <v>71</v>
      </c>
      <c r="H11" s="3" t="s">
        <v>95</v>
      </c>
      <c r="I11" s="3">
        <v>2.0</v>
      </c>
      <c r="J11" s="3">
        <v>1.0</v>
      </c>
      <c r="K11" s="3">
        <v>3.0</v>
      </c>
      <c r="L11" s="3">
        <v>4.0</v>
      </c>
      <c r="M11" s="3">
        <v>2.0</v>
      </c>
      <c r="N11" s="3">
        <v>4.0</v>
      </c>
      <c r="O11" s="3">
        <v>4.0</v>
      </c>
      <c r="P11" s="3">
        <v>5.0</v>
      </c>
      <c r="Q11" s="3">
        <v>5.0</v>
      </c>
      <c r="R11" s="3">
        <v>4.0</v>
      </c>
      <c r="S11" s="3">
        <v>4.0</v>
      </c>
      <c r="T11" s="3">
        <v>4.0</v>
      </c>
      <c r="U11" s="3">
        <v>4.0</v>
      </c>
      <c r="V11" s="3">
        <v>4.0</v>
      </c>
      <c r="W11" s="3">
        <v>4.0</v>
      </c>
      <c r="X11" s="3">
        <v>4.0</v>
      </c>
      <c r="Y11" s="3">
        <v>5.0</v>
      </c>
      <c r="Z11" s="3">
        <v>5.0</v>
      </c>
      <c r="AA11" s="3">
        <v>5.0</v>
      </c>
      <c r="AB11" s="3">
        <v>2.0</v>
      </c>
      <c r="AC11" s="3">
        <v>5.0</v>
      </c>
      <c r="AD11" s="3">
        <v>2.0</v>
      </c>
      <c r="AE11" s="3">
        <v>4.0</v>
      </c>
      <c r="AF11" s="3">
        <v>4.0</v>
      </c>
      <c r="AG11" s="3">
        <v>4.0</v>
      </c>
      <c r="AH11" s="3">
        <v>5.0</v>
      </c>
      <c r="AI11" s="3">
        <v>2.0</v>
      </c>
      <c r="AJ11" s="3">
        <v>2.0</v>
      </c>
      <c r="AK11" s="3">
        <v>2.0</v>
      </c>
      <c r="AL11" s="3">
        <v>4.0</v>
      </c>
      <c r="AM11" s="3">
        <v>2.0</v>
      </c>
      <c r="AN11" s="3">
        <v>4.0</v>
      </c>
      <c r="AO11" s="3">
        <v>2.0</v>
      </c>
      <c r="AP11" s="3">
        <v>4.0</v>
      </c>
      <c r="AQ11" s="3">
        <v>2.0</v>
      </c>
      <c r="AR11" s="3">
        <v>4.0</v>
      </c>
      <c r="AS11" s="3">
        <v>3.0</v>
      </c>
      <c r="AT11" s="3">
        <v>4.0</v>
      </c>
      <c r="AU11" s="3">
        <v>4.0</v>
      </c>
      <c r="AV11" s="3">
        <v>4.0</v>
      </c>
      <c r="AW11" s="3">
        <v>2.0</v>
      </c>
      <c r="AX11" s="3">
        <v>4.0</v>
      </c>
      <c r="AY11" s="3">
        <v>4.0</v>
      </c>
      <c r="AZ11" s="3">
        <v>4.0</v>
      </c>
      <c r="BA11" s="3">
        <v>4.0</v>
      </c>
      <c r="BB11" s="3">
        <v>4.0</v>
      </c>
      <c r="BC11" s="3">
        <v>4.0</v>
      </c>
      <c r="BD11" s="3">
        <v>4.0</v>
      </c>
      <c r="BE11" s="3">
        <v>2.0</v>
      </c>
      <c r="BF11" s="3">
        <v>2.0</v>
      </c>
      <c r="BG11" s="3">
        <v>4.0</v>
      </c>
      <c r="BH11" s="4"/>
    </row>
    <row r="12" ht="22.5" customHeight="1">
      <c r="A12" s="2">
        <v>45914.21139547454</v>
      </c>
      <c r="B12" s="3" t="s">
        <v>60</v>
      </c>
      <c r="C12" s="3" t="s">
        <v>83</v>
      </c>
      <c r="D12" s="3" t="s">
        <v>68</v>
      </c>
      <c r="E12" s="3" t="s">
        <v>80</v>
      </c>
      <c r="F12" s="3" t="s">
        <v>70</v>
      </c>
      <c r="G12" s="3" t="s">
        <v>71</v>
      </c>
      <c r="H12" s="3" t="s">
        <v>90</v>
      </c>
      <c r="I12" s="3">
        <v>2.0</v>
      </c>
      <c r="J12" s="3">
        <v>2.0</v>
      </c>
      <c r="K12" s="3">
        <v>2.0</v>
      </c>
      <c r="L12" s="3">
        <v>2.0</v>
      </c>
      <c r="M12" s="3">
        <v>2.0</v>
      </c>
      <c r="N12" s="3">
        <v>4.0</v>
      </c>
      <c r="O12" s="3">
        <v>4.0</v>
      </c>
      <c r="P12" s="3">
        <v>4.0</v>
      </c>
      <c r="Q12" s="3">
        <v>4.0</v>
      </c>
      <c r="R12" s="3">
        <v>4.0</v>
      </c>
      <c r="S12" s="3">
        <v>4.0</v>
      </c>
      <c r="T12" s="3">
        <v>4.0</v>
      </c>
      <c r="U12" s="3">
        <v>4.0</v>
      </c>
      <c r="V12" s="3">
        <v>4.0</v>
      </c>
      <c r="W12" s="3">
        <v>4.0</v>
      </c>
      <c r="X12" s="3">
        <v>4.0</v>
      </c>
      <c r="Y12" s="3">
        <v>4.0</v>
      </c>
      <c r="Z12" s="3">
        <v>4.0</v>
      </c>
      <c r="AA12" s="3">
        <v>4.0</v>
      </c>
      <c r="AB12" s="3">
        <v>1.0</v>
      </c>
      <c r="AC12" s="3">
        <v>4.0</v>
      </c>
      <c r="AD12" s="3">
        <v>4.0</v>
      </c>
      <c r="AE12" s="3">
        <v>4.0</v>
      </c>
      <c r="AF12" s="3">
        <v>1.0</v>
      </c>
      <c r="AG12" s="3">
        <v>1.0</v>
      </c>
      <c r="AH12" s="3">
        <v>1.0</v>
      </c>
      <c r="AI12" s="3">
        <v>1.0</v>
      </c>
      <c r="AJ12" s="3">
        <v>1.0</v>
      </c>
      <c r="AK12" s="3">
        <v>1.0</v>
      </c>
      <c r="AL12" s="3">
        <v>5.0</v>
      </c>
      <c r="AM12" s="3">
        <v>5.0</v>
      </c>
      <c r="AN12" s="3">
        <v>5.0</v>
      </c>
      <c r="AO12" s="3">
        <v>5.0</v>
      </c>
      <c r="AP12" s="3">
        <v>5.0</v>
      </c>
      <c r="AQ12" s="3">
        <v>5.0</v>
      </c>
      <c r="AR12" s="3">
        <v>5.0</v>
      </c>
      <c r="AS12" s="3">
        <v>5.0</v>
      </c>
      <c r="AT12" s="3">
        <v>5.0</v>
      </c>
      <c r="AU12" s="3">
        <v>5.0</v>
      </c>
      <c r="AV12" s="3">
        <v>5.0</v>
      </c>
      <c r="AW12" s="3">
        <v>5.0</v>
      </c>
      <c r="AX12" s="3">
        <v>5.0</v>
      </c>
      <c r="AY12" s="3">
        <v>5.0</v>
      </c>
      <c r="AZ12" s="3">
        <v>5.0</v>
      </c>
      <c r="BA12" s="3">
        <v>5.0</v>
      </c>
      <c r="BB12" s="3">
        <v>5.0</v>
      </c>
      <c r="BC12" s="3">
        <v>1.0</v>
      </c>
      <c r="BD12" s="3">
        <v>5.0</v>
      </c>
      <c r="BE12" s="3">
        <v>5.0</v>
      </c>
      <c r="BF12" s="3">
        <v>1.0</v>
      </c>
      <c r="BG12" s="3">
        <v>5.0</v>
      </c>
      <c r="BH12" s="4"/>
    </row>
    <row r="13" ht="22.5" customHeight="1">
      <c r="A13" s="2">
        <v>45915.49356747685</v>
      </c>
      <c r="B13" s="3" t="s">
        <v>60</v>
      </c>
      <c r="C13" s="3" t="s">
        <v>67</v>
      </c>
      <c r="D13" s="3" t="s">
        <v>79</v>
      </c>
      <c r="E13" s="3" t="s">
        <v>91</v>
      </c>
      <c r="F13" s="3" t="s">
        <v>70</v>
      </c>
      <c r="G13" s="3" t="s">
        <v>81</v>
      </c>
      <c r="H13" s="3" t="s">
        <v>96</v>
      </c>
      <c r="I13" s="3">
        <v>2.0</v>
      </c>
      <c r="J13" s="3">
        <v>4.0</v>
      </c>
      <c r="K13" s="3">
        <v>3.0</v>
      </c>
      <c r="L13" s="3">
        <v>1.0</v>
      </c>
      <c r="M13" s="3">
        <v>2.0</v>
      </c>
      <c r="N13" s="3">
        <v>5.0</v>
      </c>
      <c r="O13" s="3">
        <v>4.0</v>
      </c>
      <c r="P13" s="3">
        <v>5.0</v>
      </c>
      <c r="Q13" s="3">
        <v>4.0</v>
      </c>
      <c r="R13" s="3">
        <v>5.0</v>
      </c>
      <c r="S13" s="3">
        <v>2.0</v>
      </c>
      <c r="T13" s="3">
        <v>3.0</v>
      </c>
      <c r="U13" s="3">
        <v>4.0</v>
      </c>
      <c r="V13" s="3">
        <v>5.0</v>
      </c>
      <c r="W13" s="3">
        <v>5.0</v>
      </c>
      <c r="X13" s="3">
        <v>5.0</v>
      </c>
      <c r="Y13" s="3">
        <v>5.0</v>
      </c>
      <c r="Z13" s="3">
        <v>4.0</v>
      </c>
      <c r="AA13" s="3">
        <v>3.0</v>
      </c>
      <c r="AB13" s="3">
        <v>4.0</v>
      </c>
      <c r="AC13" s="3">
        <v>4.0</v>
      </c>
      <c r="AD13" s="3">
        <v>2.0</v>
      </c>
      <c r="AE13" s="3">
        <v>5.0</v>
      </c>
      <c r="AF13" s="3">
        <v>2.0</v>
      </c>
      <c r="AG13" s="3">
        <v>4.0</v>
      </c>
      <c r="AH13" s="3">
        <v>5.0</v>
      </c>
      <c r="AI13" s="3">
        <v>2.0</v>
      </c>
      <c r="AJ13" s="3">
        <v>4.0</v>
      </c>
      <c r="AK13" s="3">
        <v>3.0</v>
      </c>
      <c r="AL13" s="3">
        <v>5.0</v>
      </c>
      <c r="AM13" s="3">
        <v>4.0</v>
      </c>
      <c r="AN13" s="3">
        <v>5.0</v>
      </c>
      <c r="AO13" s="3">
        <v>3.0</v>
      </c>
      <c r="AP13" s="3">
        <v>2.0</v>
      </c>
      <c r="AQ13" s="3">
        <v>4.0</v>
      </c>
      <c r="AR13" s="3">
        <v>3.0</v>
      </c>
      <c r="AS13" s="3">
        <v>4.0</v>
      </c>
      <c r="AT13" s="3">
        <v>4.0</v>
      </c>
      <c r="AU13" s="3">
        <v>3.0</v>
      </c>
      <c r="AV13" s="3">
        <v>2.0</v>
      </c>
      <c r="AW13" s="3">
        <v>3.0</v>
      </c>
      <c r="AX13" s="3">
        <v>4.0</v>
      </c>
      <c r="AY13" s="3">
        <v>4.0</v>
      </c>
      <c r="AZ13" s="3">
        <v>4.0</v>
      </c>
      <c r="BA13" s="3">
        <v>2.0</v>
      </c>
      <c r="BB13" s="3">
        <v>3.0</v>
      </c>
      <c r="BC13" s="3">
        <v>4.0</v>
      </c>
      <c r="BD13" s="3">
        <v>4.0</v>
      </c>
      <c r="BE13" s="3">
        <v>3.0</v>
      </c>
      <c r="BF13" s="3">
        <v>5.0</v>
      </c>
      <c r="BG13" s="3">
        <v>5.0</v>
      </c>
      <c r="BH13" s="4"/>
    </row>
    <row r="14" ht="22.5" customHeight="1">
      <c r="A14" s="2">
        <v>45915.51805262732</v>
      </c>
      <c r="B14" s="3" t="s">
        <v>60</v>
      </c>
      <c r="C14" s="3" t="s">
        <v>97</v>
      </c>
      <c r="D14" s="3" t="s">
        <v>79</v>
      </c>
      <c r="E14" s="3" t="s">
        <v>98</v>
      </c>
      <c r="F14" s="3" t="s">
        <v>70</v>
      </c>
      <c r="G14" s="3" t="s">
        <v>99</v>
      </c>
      <c r="H14" s="3" t="s">
        <v>100</v>
      </c>
      <c r="I14" s="3">
        <v>3.0</v>
      </c>
      <c r="J14" s="3">
        <v>4.0</v>
      </c>
      <c r="K14" s="3">
        <v>4.0</v>
      </c>
      <c r="L14" s="3">
        <v>4.0</v>
      </c>
      <c r="M14" s="3">
        <v>2.0</v>
      </c>
      <c r="N14" s="3">
        <v>3.0</v>
      </c>
      <c r="O14" s="3">
        <v>4.0</v>
      </c>
      <c r="P14" s="3">
        <v>4.0</v>
      </c>
      <c r="Q14" s="3">
        <v>3.0</v>
      </c>
      <c r="R14" s="3">
        <v>3.0</v>
      </c>
      <c r="S14" s="3">
        <v>4.0</v>
      </c>
      <c r="T14" s="3">
        <v>4.0</v>
      </c>
      <c r="U14" s="3">
        <v>4.0</v>
      </c>
      <c r="V14" s="3">
        <v>4.0</v>
      </c>
      <c r="W14" s="3">
        <v>4.0</v>
      </c>
      <c r="X14" s="3">
        <v>3.0</v>
      </c>
      <c r="Y14" s="3">
        <v>3.0</v>
      </c>
      <c r="Z14" s="3">
        <v>4.0</v>
      </c>
      <c r="AA14" s="3">
        <v>3.0</v>
      </c>
      <c r="AB14" s="3">
        <v>4.0</v>
      </c>
      <c r="AC14" s="3">
        <v>3.0</v>
      </c>
      <c r="AD14" s="3">
        <v>3.0</v>
      </c>
      <c r="AE14" s="3">
        <v>3.0</v>
      </c>
      <c r="AF14" s="3">
        <v>3.0</v>
      </c>
      <c r="AG14" s="3">
        <v>5.0</v>
      </c>
      <c r="AH14" s="3">
        <v>4.0</v>
      </c>
      <c r="AI14" s="3">
        <v>3.0</v>
      </c>
      <c r="AJ14" s="3">
        <v>4.0</v>
      </c>
      <c r="AK14" s="3">
        <v>3.0</v>
      </c>
      <c r="AL14" s="3">
        <v>3.0</v>
      </c>
      <c r="AM14" s="3">
        <v>3.0</v>
      </c>
      <c r="AN14" s="3">
        <v>4.0</v>
      </c>
      <c r="AO14" s="3">
        <v>4.0</v>
      </c>
      <c r="AP14" s="3">
        <v>4.0</v>
      </c>
      <c r="AQ14" s="3">
        <v>4.0</v>
      </c>
      <c r="AR14" s="3">
        <v>4.0</v>
      </c>
      <c r="AS14" s="3">
        <v>2.0</v>
      </c>
      <c r="AT14" s="3">
        <v>1.0</v>
      </c>
      <c r="AU14" s="3">
        <v>4.0</v>
      </c>
      <c r="AV14" s="3">
        <v>4.0</v>
      </c>
      <c r="AW14" s="3">
        <v>4.0</v>
      </c>
      <c r="AX14" s="3">
        <v>4.0</v>
      </c>
      <c r="AY14" s="3">
        <v>3.0</v>
      </c>
      <c r="AZ14" s="3">
        <v>3.0</v>
      </c>
      <c r="BA14" s="3">
        <v>4.0</v>
      </c>
      <c r="BB14" s="3">
        <v>3.0</v>
      </c>
      <c r="BC14" s="3">
        <v>3.0</v>
      </c>
      <c r="BD14" s="3">
        <v>4.0</v>
      </c>
      <c r="BE14" s="3">
        <v>4.0</v>
      </c>
      <c r="BF14" s="3">
        <v>3.0</v>
      </c>
      <c r="BG14" s="3">
        <v>3.0</v>
      </c>
      <c r="BH14" s="4"/>
    </row>
    <row r="15" ht="22.5" customHeight="1">
      <c r="A15" s="2">
        <v>45915.57996888889</v>
      </c>
      <c r="B15" s="3" t="s">
        <v>60</v>
      </c>
      <c r="C15" s="3" t="s">
        <v>83</v>
      </c>
      <c r="D15" s="3" t="s">
        <v>79</v>
      </c>
      <c r="E15" s="3" t="s">
        <v>101</v>
      </c>
      <c r="F15" s="3" t="s">
        <v>63</v>
      </c>
      <c r="G15" s="3" t="s">
        <v>76</v>
      </c>
      <c r="H15" s="3" t="s">
        <v>102</v>
      </c>
      <c r="I15" s="3">
        <v>4.0</v>
      </c>
      <c r="J15" s="3">
        <v>5.0</v>
      </c>
      <c r="K15" s="3">
        <v>5.0</v>
      </c>
      <c r="L15" s="3">
        <v>5.0</v>
      </c>
      <c r="M15" s="3">
        <v>2.0</v>
      </c>
      <c r="N15" s="3">
        <v>3.0</v>
      </c>
      <c r="O15" s="3">
        <v>4.0</v>
      </c>
      <c r="P15" s="3">
        <v>3.0</v>
      </c>
      <c r="Q15" s="3">
        <v>4.0</v>
      </c>
      <c r="R15" s="3">
        <v>4.0</v>
      </c>
      <c r="S15" s="3">
        <v>1.0</v>
      </c>
      <c r="T15" s="3">
        <v>2.0</v>
      </c>
      <c r="U15" s="3">
        <v>2.0</v>
      </c>
      <c r="V15" s="3">
        <v>2.0</v>
      </c>
      <c r="W15" s="3">
        <v>3.0</v>
      </c>
      <c r="X15" s="3">
        <v>4.0</v>
      </c>
      <c r="Y15" s="3">
        <v>3.0</v>
      </c>
      <c r="Z15" s="3">
        <v>3.0</v>
      </c>
      <c r="AA15" s="3">
        <v>3.0</v>
      </c>
      <c r="AB15" s="3">
        <v>3.0</v>
      </c>
      <c r="AC15" s="3">
        <v>4.0</v>
      </c>
      <c r="AD15" s="3">
        <v>2.0</v>
      </c>
      <c r="AE15" s="3">
        <v>3.0</v>
      </c>
      <c r="AF15" s="3">
        <v>4.0</v>
      </c>
      <c r="AG15" s="3">
        <v>4.0</v>
      </c>
      <c r="AH15" s="3">
        <v>1.0</v>
      </c>
      <c r="AI15" s="3">
        <v>4.0</v>
      </c>
      <c r="AJ15" s="3">
        <v>5.0</v>
      </c>
      <c r="AK15" s="3">
        <v>5.0</v>
      </c>
      <c r="AL15" s="3">
        <v>4.0</v>
      </c>
      <c r="AM15" s="3">
        <v>3.0</v>
      </c>
      <c r="AN15" s="3">
        <v>4.0</v>
      </c>
      <c r="AO15" s="3">
        <v>3.0</v>
      </c>
      <c r="AP15" s="3">
        <v>4.0</v>
      </c>
      <c r="AQ15" s="3">
        <v>4.0</v>
      </c>
      <c r="AR15" s="3">
        <v>4.0</v>
      </c>
      <c r="AS15" s="3">
        <v>2.0</v>
      </c>
      <c r="AT15" s="3">
        <v>2.0</v>
      </c>
      <c r="AU15" s="3">
        <v>3.0</v>
      </c>
      <c r="AV15" s="3">
        <v>2.0</v>
      </c>
      <c r="AW15" s="3">
        <v>2.0</v>
      </c>
      <c r="AX15" s="3">
        <v>4.0</v>
      </c>
      <c r="AY15" s="3">
        <v>2.0</v>
      </c>
      <c r="AZ15" s="3">
        <v>2.0</v>
      </c>
      <c r="BA15" s="3">
        <v>2.0</v>
      </c>
      <c r="BB15" s="3">
        <v>3.0</v>
      </c>
      <c r="BC15" s="3">
        <v>4.0</v>
      </c>
      <c r="BD15" s="3">
        <v>4.0</v>
      </c>
      <c r="BE15" s="3">
        <v>3.0</v>
      </c>
      <c r="BF15" s="3">
        <v>2.0</v>
      </c>
      <c r="BG15" s="3">
        <v>4.0</v>
      </c>
      <c r="BH15" s="4"/>
    </row>
    <row r="16" ht="22.5" customHeight="1">
      <c r="A16" s="2">
        <v>45916.47776177083</v>
      </c>
      <c r="B16" s="3" t="s">
        <v>60</v>
      </c>
      <c r="C16" s="3" t="s">
        <v>83</v>
      </c>
      <c r="D16" s="3" t="s">
        <v>88</v>
      </c>
      <c r="E16" s="3" t="s">
        <v>103</v>
      </c>
      <c r="F16" s="3" t="s">
        <v>70</v>
      </c>
      <c r="G16" s="3" t="s">
        <v>71</v>
      </c>
      <c r="H16" s="3" t="s">
        <v>104</v>
      </c>
      <c r="I16" s="3">
        <v>5.0</v>
      </c>
      <c r="J16" s="3">
        <v>5.0</v>
      </c>
      <c r="K16" s="3">
        <v>5.0</v>
      </c>
      <c r="L16" s="3">
        <v>5.0</v>
      </c>
      <c r="M16" s="3">
        <v>5.0</v>
      </c>
      <c r="N16" s="3">
        <v>5.0</v>
      </c>
      <c r="O16" s="3">
        <v>4.0</v>
      </c>
      <c r="P16" s="3">
        <v>4.0</v>
      </c>
      <c r="Q16" s="3">
        <v>4.0</v>
      </c>
      <c r="R16" s="3">
        <v>4.0</v>
      </c>
      <c r="S16" s="3">
        <v>5.0</v>
      </c>
      <c r="T16" s="3">
        <v>5.0</v>
      </c>
      <c r="U16" s="3">
        <v>4.0</v>
      </c>
      <c r="V16" s="3">
        <v>3.0</v>
      </c>
      <c r="W16" s="3">
        <v>4.0</v>
      </c>
      <c r="X16" s="3">
        <v>4.0</v>
      </c>
      <c r="Y16" s="3">
        <v>4.0</v>
      </c>
      <c r="Z16" s="3">
        <v>4.0</v>
      </c>
      <c r="AA16" s="3">
        <v>4.0</v>
      </c>
      <c r="AB16" s="3">
        <v>4.0</v>
      </c>
      <c r="AC16" s="3">
        <v>4.0</v>
      </c>
      <c r="AD16" s="3">
        <v>4.0</v>
      </c>
      <c r="AE16" s="3">
        <v>4.0</v>
      </c>
      <c r="AF16" s="3">
        <v>4.0</v>
      </c>
      <c r="AG16" s="3">
        <v>4.0</v>
      </c>
      <c r="AH16" s="3">
        <v>4.0</v>
      </c>
      <c r="AI16" s="3">
        <v>4.0</v>
      </c>
      <c r="AJ16" s="3">
        <v>4.0</v>
      </c>
      <c r="AK16" s="3">
        <v>5.0</v>
      </c>
      <c r="AL16" s="3">
        <v>5.0</v>
      </c>
      <c r="AM16" s="3">
        <v>5.0</v>
      </c>
      <c r="AN16" s="3">
        <v>5.0</v>
      </c>
      <c r="AO16" s="3">
        <v>5.0</v>
      </c>
      <c r="AP16" s="3">
        <v>5.0</v>
      </c>
      <c r="AQ16" s="3">
        <v>5.0</v>
      </c>
      <c r="AR16" s="3">
        <v>5.0</v>
      </c>
      <c r="AS16" s="3">
        <v>5.0</v>
      </c>
      <c r="AT16" s="3">
        <v>5.0</v>
      </c>
      <c r="AU16" s="3">
        <v>5.0</v>
      </c>
      <c r="AV16" s="3">
        <v>5.0</v>
      </c>
      <c r="AW16" s="3">
        <v>5.0</v>
      </c>
      <c r="AX16" s="3">
        <v>5.0</v>
      </c>
      <c r="AY16" s="3">
        <v>5.0</v>
      </c>
      <c r="AZ16" s="3">
        <v>4.0</v>
      </c>
      <c r="BA16" s="3">
        <v>4.0</v>
      </c>
      <c r="BB16" s="3">
        <v>4.0</v>
      </c>
      <c r="BC16" s="3">
        <v>5.0</v>
      </c>
      <c r="BD16" s="3">
        <v>5.0</v>
      </c>
      <c r="BE16" s="3">
        <v>5.0</v>
      </c>
      <c r="BF16" s="3">
        <v>5.0</v>
      </c>
      <c r="BG16" s="3">
        <v>5.0</v>
      </c>
      <c r="BH16" s="4"/>
    </row>
    <row r="17" ht="22.5" customHeight="1">
      <c r="A17" s="2">
        <v>45916.51121885417</v>
      </c>
      <c r="B17" s="3" t="s">
        <v>60</v>
      </c>
      <c r="C17" s="3" t="s">
        <v>83</v>
      </c>
      <c r="D17" s="3" t="s">
        <v>79</v>
      </c>
      <c r="E17" s="3" t="s">
        <v>105</v>
      </c>
      <c r="F17" s="3" t="s">
        <v>106</v>
      </c>
      <c r="G17" s="3" t="s">
        <v>107</v>
      </c>
      <c r="H17" s="3" t="s">
        <v>108</v>
      </c>
      <c r="I17" s="3">
        <v>4.0</v>
      </c>
      <c r="J17" s="3">
        <v>4.0</v>
      </c>
      <c r="K17" s="3">
        <v>4.0</v>
      </c>
      <c r="L17" s="3">
        <v>4.0</v>
      </c>
      <c r="M17" s="3">
        <v>4.0</v>
      </c>
      <c r="N17" s="3">
        <v>3.0</v>
      </c>
      <c r="O17" s="3">
        <v>4.0</v>
      </c>
      <c r="P17" s="3">
        <v>3.0</v>
      </c>
      <c r="Q17" s="3">
        <v>5.0</v>
      </c>
      <c r="R17" s="3">
        <v>5.0</v>
      </c>
      <c r="S17" s="3">
        <v>3.0</v>
      </c>
      <c r="T17" s="3">
        <v>4.0</v>
      </c>
      <c r="U17" s="3">
        <v>3.0</v>
      </c>
      <c r="V17" s="3">
        <v>4.0</v>
      </c>
      <c r="W17" s="3">
        <v>5.0</v>
      </c>
      <c r="X17" s="3">
        <v>3.0</v>
      </c>
      <c r="Y17" s="3">
        <v>3.0</v>
      </c>
      <c r="Z17" s="3">
        <v>3.0</v>
      </c>
      <c r="AA17" s="3">
        <v>4.0</v>
      </c>
      <c r="AB17" s="3">
        <v>4.0</v>
      </c>
      <c r="AC17" s="3">
        <v>4.0</v>
      </c>
      <c r="AD17" s="3">
        <v>3.0</v>
      </c>
      <c r="AE17" s="3">
        <v>5.0</v>
      </c>
      <c r="AF17" s="3">
        <v>4.0</v>
      </c>
      <c r="AG17" s="3">
        <v>3.0</v>
      </c>
      <c r="AH17" s="3">
        <v>4.0</v>
      </c>
      <c r="AI17" s="3">
        <v>3.0</v>
      </c>
      <c r="AJ17" s="3">
        <v>5.0</v>
      </c>
      <c r="AK17" s="3">
        <v>4.0</v>
      </c>
      <c r="AL17" s="3">
        <v>4.0</v>
      </c>
      <c r="AM17" s="3">
        <v>4.0</v>
      </c>
      <c r="AN17" s="3">
        <v>3.0</v>
      </c>
      <c r="AO17" s="3">
        <v>2.0</v>
      </c>
      <c r="AP17" s="3">
        <v>4.0</v>
      </c>
      <c r="AQ17" s="3">
        <v>5.0</v>
      </c>
      <c r="AR17" s="3">
        <v>3.0</v>
      </c>
      <c r="AS17" s="3">
        <v>4.0</v>
      </c>
      <c r="AT17" s="3">
        <v>5.0</v>
      </c>
      <c r="AU17" s="3">
        <v>3.0</v>
      </c>
      <c r="AV17" s="3">
        <v>4.0</v>
      </c>
      <c r="AW17" s="3">
        <v>4.0</v>
      </c>
      <c r="AX17" s="3">
        <v>3.0</v>
      </c>
      <c r="AY17" s="3">
        <v>5.0</v>
      </c>
      <c r="AZ17" s="3">
        <v>4.0</v>
      </c>
      <c r="BA17" s="3">
        <v>5.0</v>
      </c>
      <c r="BB17" s="3">
        <v>5.0</v>
      </c>
      <c r="BC17" s="3">
        <v>4.0</v>
      </c>
      <c r="BD17" s="3">
        <v>5.0</v>
      </c>
      <c r="BE17" s="3">
        <v>5.0</v>
      </c>
      <c r="BF17" s="3">
        <v>5.0</v>
      </c>
      <c r="BG17" s="3">
        <v>3.0</v>
      </c>
      <c r="BH17" s="3" t="s">
        <v>109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5" t="s">
        <v>8</v>
      </c>
      <c r="C1" s="5" t="s">
        <v>9</v>
      </c>
      <c r="D1" s="5" t="s">
        <v>10</v>
      </c>
      <c r="E1" s="5" t="s">
        <v>11</v>
      </c>
      <c r="F1" s="6" t="s">
        <v>12</v>
      </c>
      <c r="G1" s="5" t="s">
        <v>13</v>
      </c>
      <c r="H1" s="5" t="s">
        <v>14</v>
      </c>
      <c r="I1" s="5" t="s">
        <v>15</v>
      </c>
      <c r="J1" s="5" t="s">
        <v>16</v>
      </c>
      <c r="K1" s="5" t="s">
        <v>17</v>
      </c>
      <c r="L1" s="5" t="s">
        <v>18</v>
      </c>
      <c r="M1" s="5" t="s">
        <v>19</v>
      </c>
      <c r="N1" s="5" t="s">
        <v>20</v>
      </c>
      <c r="O1" s="5" t="s">
        <v>21</v>
      </c>
      <c r="P1" s="5" t="s">
        <v>22</v>
      </c>
      <c r="Q1" s="5" t="s">
        <v>23</v>
      </c>
      <c r="R1" s="5" t="s">
        <v>24</v>
      </c>
      <c r="S1" s="5" t="s">
        <v>25</v>
      </c>
      <c r="T1" s="5" t="s">
        <v>26</v>
      </c>
      <c r="U1" s="5" t="s">
        <v>27</v>
      </c>
      <c r="V1" s="5" t="s">
        <v>28</v>
      </c>
      <c r="W1" s="5" t="s">
        <v>29</v>
      </c>
      <c r="X1" s="5" t="s">
        <v>30</v>
      </c>
      <c r="Y1" s="5" t="s">
        <v>31</v>
      </c>
      <c r="Z1" s="5" t="s">
        <v>32</v>
      </c>
      <c r="AA1" s="5" t="s">
        <v>33</v>
      </c>
      <c r="AB1" s="5" t="s">
        <v>34</v>
      </c>
      <c r="AC1" s="5" t="s">
        <v>35</v>
      </c>
      <c r="AD1" s="5" t="s">
        <v>36</v>
      </c>
      <c r="AE1" s="5" t="s">
        <v>37</v>
      </c>
      <c r="AF1" s="5" t="s">
        <v>38</v>
      </c>
      <c r="AG1" s="5" t="s">
        <v>39</v>
      </c>
      <c r="AH1" s="5" t="s">
        <v>40</v>
      </c>
      <c r="AI1" s="5" t="s">
        <v>41</v>
      </c>
      <c r="AJ1" s="5" t="s">
        <v>42</v>
      </c>
      <c r="AK1" s="5" t="s">
        <v>43</v>
      </c>
      <c r="AL1" s="5" t="s">
        <v>44</v>
      </c>
      <c r="AM1" s="5" t="s">
        <v>45</v>
      </c>
      <c r="AN1" s="5" t="s">
        <v>46</v>
      </c>
      <c r="AO1" s="5" t="s">
        <v>47</v>
      </c>
      <c r="AP1" s="5" t="s">
        <v>48</v>
      </c>
      <c r="AQ1" s="5" t="s">
        <v>49</v>
      </c>
      <c r="AR1" s="5" t="s">
        <v>50</v>
      </c>
      <c r="AS1" s="5" t="s">
        <v>51</v>
      </c>
      <c r="AT1" s="5" t="s">
        <v>52</v>
      </c>
      <c r="AU1" s="5" t="s">
        <v>53</v>
      </c>
      <c r="AV1" s="5" t="s">
        <v>54</v>
      </c>
      <c r="AW1" s="5" t="s">
        <v>55</v>
      </c>
      <c r="AX1" s="5" t="s">
        <v>56</v>
      </c>
      <c r="AY1" s="6" t="s">
        <v>57</v>
      </c>
      <c r="AZ1" s="5" t="s">
        <v>58</v>
      </c>
    </row>
    <row r="2">
      <c r="B2" s="7">
        <v>5.0</v>
      </c>
      <c r="C2" s="7">
        <v>3.0</v>
      </c>
      <c r="D2" s="7">
        <v>5.0</v>
      </c>
      <c r="E2" s="7">
        <v>5.0</v>
      </c>
      <c r="F2" s="8">
        <v>2.0</v>
      </c>
      <c r="G2" s="7">
        <v>4.0</v>
      </c>
      <c r="H2" s="7">
        <v>2.0</v>
      </c>
      <c r="I2" s="7">
        <v>5.0</v>
      </c>
      <c r="J2" s="7">
        <v>5.0</v>
      </c>
      <c r="K2" s="7">
        <v>5.0</v>
      </c>
      <c r="L2" s="7">
        <v>3.0</v>
      </c>
      <c r="M2" s="7">
        <v>4.0</v>
      </c>
      <c r="N2" s="7">
        <v>3.0</v>
      </c>
      <c r="O2" s="7">
        <v>5.0</v>
      </c>
      <c r="P2" s="7">
        <v>5.0</v>
      </c>
      <c r="Q2" s="7">
        <v>5.0</v>
      </c>
      <c r="R2" s="7">
        <v>5.0</v>
      </c>
      <c r="S2" s="7">
        <v>5.0</v>
      </c>
      <c r="T2" s="7">
        <v>4.0</v>
      </c>
      <c r="U2" s="7">
        <v>4.0</v>
      </c>
      <c r="V2" s="7">
        <v>4.0</v>
      </c>
      <c r="W2" s="7">
        <v>4.0</v>
      </c>
      <c r="X2" s="7">
        <v>4.0</v>
      </c>
      <c r="Y2" s="7">
        <v>3.0</v>
      </c>
      <c r="Z2" s="7">
        <v>3.0</v>
      </c>
      <c r="AA2" s="7">
        <v>3.0</v>
      </c>
      <c r="AB2" s="7">
        <v>4.0</v>
      </c>
      <c r="AC2" s="7">
        <v>2.0</v>
      </c>
      <c r="AD2" s="7">
        <v>3.0</v>
      </c>
      <c r="AE2" s="7">
        <v>4.0</v>
      </c>
      <c r="AF2" s="7">
        <v>3.0</v>
      </c>
      <c r="AG2" s="7">
        <v>3.0</v>
      </c>
      <c r="AH2" s="7">
        <v>2.0</v>
      </c>
      <c r="AI2" s="7">
        <v>2.0</v>
      </c>
      <c r="AJ2" s="7">
        <v>4.0</v>
      </c>
      <c r="AK2" s="7">
        <v>4.0</v>
      </c>
      <c r="AL2" s="7">
        <v>3.0</v>
      </c>
      <c r="AM2" s="7">
        <v>4.0</v>
      </c>
      <c r="AN2" s="7">
        <v>4.0</v>
      </c>
      <c r="AO2" s="7">
        <v>2.0</v>
      </c>
      <c r="AP2" s="7">
        <v>2.0</v>
      </c>
      <c r="AQ2" s="7">
        <v>4.0</v>
      </c>
      <c r="AR2" s="7">
        <v>2.0</v>
      </c>
      <c r="AS2" s="7">
        <v>3.0</v>
      </c>
      <c r="AT2" s="7">
        <v>4.0</v>
      </c>
      <c r="AU2" s="7">
        <v>5.0</v>
      </c>
      <c r="AV2" s="7">
        <v>2.0</v>
      </c>
      <c r="AW2" s="7">
        <v>4.0</v>
      </c>
      <c r="AX2" s="7">
        <v>2.0</v>
      </c>
      <c r="AY2" s="8">
        <v>1.0</v>
      </c>
      <c r="AZ2" s="7">
        <v>4.0</v>
      </c>
    </row>
    <row r="3">
      <c r="B3" s="7">
        <v>2.0</v>
      </c>
      <c r="C3" s="7">
        <v>2.0</v>
      </c>
      <c r="D3" s="7">
        <v>2.0</v>
      </c>
      <c r="E3" s="7">
        <v>2.0</v>
      </c>
      <c r="F3" s="8">
        <v>3.0</v>
      </c>
      <c r="G3" s="7">
        <v>3.0</v>
      </c>
      <c r="H3" s="7">
        <v>2.0</v>
      </c>
      <c r="I3" s="7">
        <v>3.0</v>
      </c>
      <c r="J3" s="7">
        <v>3.0</v>
      </c>
      <c r="K3" s="7">
        <v>3.0</v>
      </c>
      <c r="L3" s="7">
        <v>4.0</v>
      </c>
      <c r="M3" s="7">
        <v>4.0</v>
      </c>
      <c r="N3" s="7">
        <v>4.0</v>
      </c>
      <c r="O3" s="7">
        <v>4.0</v>
      </c>
      <c r="P3" s="7">
        <v>3.0</v>
      </c>
      <c r="Q3" s="7">
        <v>3.0</v>
      </c>
      <c r="R3" s="7">
        <v>2.0</v>
      </c>
      <c r="S3" s="7">
        <v>3.0</v>
      </c>
      <c r="T3" s="7">
        <v>4.0</v>
      </c>
      <c r="U3" s="7">
        <v>2.0</v>
      </c>
      <c r="V3" s="7">
        <v>2.0</v>
      </c>
      <c r="W3" s="7">
        <v>4.0</v>
      </c>
      <c r="X3" s="7">
        <v>2.0</v>
      </c>
      <c r="Y3" s="7">
        <v>2.0</v>
      </c>
      <c r="Z3" s="7">
        <v>3.0</v>
      </c>
      <c r="AA3" s="7">
        <v>4.0</v>
      </c>
      <c r="AB3" s="7">
        <v>3.0</v>
      </c>
      <c r="AC3" s="7">
        <v>2.0</v>
      </c>
      <c r="AD3" s="7">
        <v>2.0</v>
      </c>
      <c r="AE3" s="7">
        <v>4.0</v>
      </c>
      <c r="AF3" s="7">
        <v>3.0</v>
      </c>
      <c r="AG3" s="7">
        <v>3.0</v>
      </c>
      <c r="AH3" s="7">
        <v>4.0</v>
      </c>
      <c r="AI3" s="7">
        <v>4.0</v>
      </c>
      <c r="AJ3" s="7">
        <v>3.0</v>
      </c>
      <c r="AK3" s="7">
        <v>4.0</v>
      </c>
      <c r="AL3" s="7">
        <v>4.0</v>
      </c>
      <c r="AM3" s="7">
        <v>4.0</v>
      </c>
      <c r="AN3" s="7">
        <v>4.0</v>
      </c>
      <c r="AO3" s="7">
        <v>4.0</v>
      </c>
      <c r="AP3" s="7">
        <v>3.0</v>
      </c>
      <c r="AQ3" s="7">
        <v>4.0</v>
      </c>
      <c r="AR3" s="7">
        <v>3.0</v>
      </c>
      <c r="AS3" s="7">
        <v>4.0</v>
      </c>
      <c r="AT3" s="7">
        <v>4.0</v>
      </c>
      <c r="AU3" s="7">
        <v>4.0</v>
      </c>
      <c r="AV3" s="7">
        <v>2.0</v>
      </c>
      <c r="AW3" s="7">
        <v>3.0</v>
      </c>
      <c r="AX3" s="7">
        <v>4.0</v>
      </c>
      <c r="AY3" s="8">
        <v>2.0</v>
      </c>
      <c r="AZ3" s="7">
        <v>3.0</v>
      </c>
    </row>
    <row r="4">
      <c r="B4" s="7">
        <v>5.0</v>
      </c>
      <c r="C4" s="7">
        <v>5.0</v>
      </c>
      <c r="D4" s="7">
        <v>5.0</v>
      </c>
      <c r="E4" s="7">
        <v>5.0</v>
      </c>
      <c r="F4" s="8">
        <v>5.0</v>
      </c>
      <c r="G4" s="7">
        <v>5.0</v>
      </c>
      <c r="H4" s="7">
        <v>5.0</v>
      </c>
      <c r="I4" s="7">
        <v>5.0</v>
      </c>
      <c r="J4" s="7">
        <v>5.0</v>
      </c>
      <c r="K4" s="7">
        <v>5.0</v>
      </c>
      <c r="L4" s="7">
        <v>5.0</v>
      </c>
      <c r="M4" s="7">
        <v>5.0</v>
      </c>
      <c r="N4" s="7">
        <v>5.0</v>
      </c>
      <c r="O4" s="7">
        <v>5.0</v>
      </c>
      <c r="P4" s="7">
        <v>5.0</v>
      </c>
      <c r="Q4" s="7">
        <v>5.0</v>
      </c>
      <c r="R4" s="7">
        <v>5.0</v>
      </c>
      <c r="S4" s="7">
        <v>5.0</v>
      </c>
      <c r="T4" s="7">
        <v>5.0</v>
      </c>
      <c r="U4" s="7">
        <v>4.0</v>
      </c>
      <c r="V4" s="7">
        <v>5.0</v>
      </c>
      <c r="W4" s="7">
        <v>4.0</v>
      </c>
      <c r="X4" s="7">
        <v>4.0</v>
      </c>
      <c r="Y4" s="7">
        <v>4.0</v>
      </c>
      <c r="Z4" s="7">
        <v>5.0</v>
      </c>
      <c r="AA4" s="7">
        <v>4.0</v>
      </c>
      <c r="AB4" s="7">
        <v>5.0</v>
      </c>
      <c r="AC4" s="7">
        <v>4.0</v>
      </c>
      <c r="AD4" s="7">
        <v>4.0</v>
      </c>
      <c r="AE4" s="7">
        <v>5.0</v>
      </c>
      <c r="AF4" s="7">
        <v>5.0</v>
      </c>
      <c r="AG4" s="7">
        <v>5.0</v>
      </c>
      <c r="AH4" s="7">
        <v>5.0</v>
      </c>
      <c r="AI4" s="7">
        <v>5.0</v>
      </c>
      <c r="AJ4" s="7">
        <v>5.0</v>
      </c>
      <c r="AK4" s="7">
        <v>5.0</v>
      </c>
      <c r="AL4" s="7">
        <v>4.0</v>
      </c>
      <c r="AM4" s="7">
        <v>4.0</v>
      </c>
      <c r="AN4" s="7">
        <v>5.0</v>
      </c>
      <c r="AO4" s="7">
        <v>4.0</v>
      </c>
      <c r="AP4" s="7">
        <v>4.0</v>
      </c>
      <c r="AQ4" s="7">
        <v>4.0</v>
      </c>
      <c r="AR4" s="7">
        <v>5.0</v>
      </c>
      <c r="AS4" s="7">
        <v>4.0</v>
      </c>
      <c r="AT4" s="7">
        <v>4.0</v>
      </c>
      <c r="AU4" s="7">
        <v>5.0</v>
      </c>
      <c r="AV4" s="7">
        <v>5.0</v>
      </c>
      <c r="AW4" s="7">
        <v>5.0</v>
      </c>
      <c r="AX4" s="7">
        <v>5.0</v>
      </c>
      <c r="AY4" s="8">
        <v>4.0</v>
      </c>
      <c r="AZ4" s="7">
        <v>5.0</v>
      </c>
    </row>
    <row r="5">
      <c r="B5" s="7">
        <v>4.0</v>
      </c>
      <c r="C5" s="7">
        <v>4.0</v>
      </c>
      <c r="D5" s="7">
        <v>4.0</v>
      </c>
      <c r="E5" s="7">
        <v>5.0</v>
      </c>
      <c r="F5" s="8">
        <v>4.0</v>
      </c>
      <c r="G5" s="7">
        <v>4.0</v>
      </c>
      <c r="H5" s="7">
        <v>3.0</v>
      </c>
      <c r="I5" s="7">
        <v>4.0</v>
      </c>
      <c r="J5" s="7">
        <v>4.0</v>
      </c>
      <c r="K5" s="7">
        <v>5.0</v>
      </c>
      <c r="L5" s="7">
        <v>4.0</v>
      </c>
      <c r="M5" s="7">
        <v>4.0</v>
      </c>
      <c r="N5" s="7">
        <v>4.0</v>
      </c>
      <c r="O5" s="7">
        <v>4.0</v>
      </c>
      <c r="P5" s="7">
        <v>5.0</v>
      </c>
      <c r="Q5" s="7">
        <v>4.0</v>
      </c>
      <c r="R5" s="7">
        <v>5.0</v>
      </c>
      <c r="S5" s="7">
        <v>4.0</v>
      </c>
      <c r="T5" s="7">
        <v>4.0</v>
      </c>
      <c r="U5" s="7">
        <v>3.0</v>
      </c>
      <c r="V5" s="7">
        <v>4.0</v>
      </c>
      <c r="W5" s="7">
        <v>3.0</v>
      </c>
      <c r="X5" s="7">
        <v>5.0</v>
      </c>
      <c r="Y5" s="7">
        <v>3.0</v>
      </c>
      <c r="Z5" s="7">
        <v>4.0</v>
      </c>
      <c r="AA5" s="7">
        <v>3.0</v>
      </c>
      <c r="AB5" s="7">
        <v>4.0</v>
      </c>
      <c r="AC5" s="7">
        <v>5.0</v>
      </c>
      <c r="AD5" s="7">
        <v>4.0</v>
      </c>
      <c r="AE5" s="7">
        <v>4.0</v>
      </c>
      <c r="AF5" s="7">
        <v>4.0</v>
      </c>
      <c r="AG5" s="7">
        <v>4.0</v>
      </c>
      <c r="AH5" s="7">
        <v>4.0</v>
      </c>
      <c r="AI5" s="7">
        <v>4.0</v>
      </c>
      <c r="AJ5" s="7">
        <v>5.0</v>
      </c>
      <c r="AK5" s="7">
        <v>4.0</v>
      </c>
      <c r="AL5" s="7">
        <v>4.0</v>
      </c>
      <c r="AM5" s="7">
        <v>4.0</v>
      </c>
      <c r="AN5" s="7">
        <v>4.0</v>
      </c>
      <c r="AO5" s="7">
        <v>4.0</v>
      </c>
      <c r="AP5" s="7">
        <v>4.0</v>
      </c>
      <c r="AQ5" s="7">
        <v>4.0</v>
      </c>
      <c r="AR5" s="7">
        <v>4.0</v>
      </c>
      <c r="AS5" s="7">
        <v>4.0</v>
      </c>
      <c r="AT5" s="7">
        <v>4.0</v>
      </c>
      <c r="AU5" s="7">
        <v>4.0</v>
      </c>
      <c r="AV5" s="7">
        <v>4.0</v>
      </c>
      <c r="AW5" s="7">
        <v>5.0</v>
      </c>
      <c r="AX5" s="7">
        <v>4.0</v>
      </c>
      <c r="AY5" s="8">
        <v>4.0</v>
      </c>
      <c r="AZ5" s="7">
        <v>4.0</v>
      </c>
    </row>
    <row r="6">
      <c r="B6" s="7">
        <v>5.0</v>
      </c>
      <c r="C6" s="7">
        <v>5.0</v>
      </c>
      <c r="D6" s="7">
        <v>5.0</v>
      </c>
      <c r="E6" s="7">
        <v>5.0</v>
      </c>
      <c r="F6" s="8">
        <v>3.0</v>
      </c>
      <c r="G6" s="7">
        <v>3.0</v>
      </c>
      <c r="H6" s="7">
        <v>4.0</v>
      </c>
      <c r="I6" s="7">
        <v>4.0</v>
      </c>
      <c r="J6" s="7">
        <v>4.0</v>
      </c>
      <c r="K6" s="7">
        <v>4.0</v>
      </c>
      <c r="L6" s="7">
        <v>4.0</v>
      </c>
      <c r="M6" s="7">
        <v>5.0</v>
      </c>
      <c r="N6" s="7">
        <v>5.0</v>
      </c>
      <c r="O6" s="7">
        <v>5.0</v>
      </c>
      <c r="P6" s="7">
        <v>5.0</v>
      </c>
      <c r="Q6" s="7">
        <v>5.0</v>
      </c>
      <c r="R6" s="7">
        <v>5.0</v>
      </c>
      <c r="S6" s="7">
        <v>5.0</v>
      </c>
      <c r="T6" s="7">
        <v>4.0</v>
      </c>
      <c r="U6" s="7">
        <v>5.0</v>
      </c>
      <c r="V6" s="7">
        <v>4.0</v>
      </c>
      <c r="W6" s="7">
        <v>5.0</v>
      </c>
      <c r="X6" s="7">
        <v>4.0</v>
      </c>
      <c r="Y6" s="7">
        <v>4.0</v>
      </c>
      <c r="Z6" s="7">
        <v>4.0</v>
      </c>
      <c r="AA6" s="7">
        <v>5.0</v>
      </c>
      <c r="AB6" s="7">
        <v>5.0</v>
      </c>
      <c r="AC6" s="7">
        <v>5.0</v>
      </c>
      <c r="AD6" s="7">
        <v>4.0</v>
      </c>
      <c r="AE6" s="7">
        <v>5.0</v>
      </c>
      <c r="AF6" s="7">
        <v>5.0</v>
      </c>
      <c r="AG6" s="7">
        <v>4.0</v>
      </c>
      <c r="AH6" s="7">
        <v>5.0</v>
      </c>
      <c r="AI6" s="7">
        <v>5.0</v>
      </c>
      <c r="AJ6" s="7">
        <v>5.0</v>
      </c>
      <c r="AK6" s="7">
        <v>5.0</v>
      </c>
      <c r="AL6" s="7">
        <v>4.0</v>
      </c>
      <c r="AM6" s="7">
        <v>4.0</v>
      </c>
      <c r="AN6" s="7">
        <v>4.0</v>
      </c>
      <c r="AO6" s="7">
        <v>4.0</v>
      </c>
      <c r="AP6" s="7">
        <v>3.0</v>
      </c>
      <c r="AQ6" s="7">
        <v>5.0</v>
      </c>
      <c r="AR6" s="7">
        <v>3.0</v>
      </c>
      <c r="AS6" s="7">
        <v>4.0</v>
      </c>
      <c r="AT6" s="7">
        <v>4.0</v>
      </c>
      <c r="AU6" s="7">
        <v>4.0</v>
      </c>
      <c r="AV6" s="7">
        <v>4.0</v>
      </c>
      <c r="AW6" s="7">
        <v>4.0</v>
      </c>
      <c r="AX6" s="7">
        <v>4.0</v>
      </c>
      <c r="AY6" s="8">
        <v>3.0</v>
      </c>
      <c r="AZ6" s="7">
        <v>4.0</v>
      </c>
    </row>
    <row r="7">
      <c r="B7" s="7">
        <v>5.0</v>
      </c>
      <c r="C7" s="7">
        <v>5.0</v>
      </c>
      <c r="D7" s="7">
        <v>5.0</v>
      </c>
      <c r="E7" s="7">
        <v>4.0</v>
      </c>
      <c r="F7" s="8">
        <v>4.0</v>
      </c>
      <c r="G7" s="7">
        <v>5.0</v>
      </c>
      <c r="H7" s="7">
        <v>5.0</v>
      </c>
      <c r="I7" s="7">
        <v>5.0</v>
      </c>
      <c r="J7" s="7">
        <v>3.0</v>
      </c>
      <c r="K7" s="7">
        <v>4.0</v>
      </c>
      <c r="L7" s="7">
        <v>5.0</v>
      </c>
      <c r="M7" s="7">
        <v>5.0</v>
      </c>
      <c r="N7" s="7">
        <v>5.0</v>
      </c>
      <c r="O7" s="7">
        <v>4.0</v>
      </c>
      <c r="P7" s="7">
        <v>5.0</v>
      </c>
      <c r="Q7" s="7">
        <v>4.0</v>
      </c>
      <c r="R7" s="7">
        <v>5.0</v>
      </c>
      <c r="S7" s="7">
        <v>5.0</v>
      </c>
      <c r="T7" s="7">
        <v>4.0</v>
      </c>
      <c r="U7" s="7">
        <v>5.0</v>
      </c>
      <c r="V7" s="7">
        <v>4.0</v>
      </c>
      <c r="W7" s="7">
        <v>5.0</v>
      </c>
      <c r="X7" s="7">
        <v>5.0</v>
      </c>
      <c r="Y7" s="7">
        <v>4.0</v>
      </c>
      <c r="Z7" s="7">
        <v>5.0</v>
      </c>
      <c r="AA7" s="7">
        <v>5.0</v>
      </c>
      <c r="AB7" s="7">
        <v>5.0</v>
      </c>
      <c r="AC7" s="7">
        <v>4.0</v>
      </c>
      <c r="AD7" s="7">
        <v>5.0</v>
      </c>
      <c r="AE7" s="7">
        <v>4.0</v>
      </c>
      <c r="AF7" s="7">
        <v>5.0</v>
      </c>
      <c r="AG7" s="7">
        <v>4.0</v>
      </c>
      <c r="AH7" s="7">
        <v>5.0</v>
      </c>
      <c r="AI7" s="7">
        <v>5.0</v>
      </c>
      <c r="AJ7" s="7">
        <v>5.0</v>
      </c>
      <c r="AK7" s="7">
        <v>5.0</v>
      </c>
      <c r="AL7" s="7">
        <v>5.0</v>
      </c>
      <c r="AM7" s="7">
        <v>5.0</v>
      </c>
      <c r="AN7" s="7">
        <v>4.0</v>
      </c>
      <c r="AO7" s="7">
        <v>5.0</v>
      </c>
      <c r="AP7" s="7">
        <v>5.0</v>
      </c>
      <c r="AQ7" s="7">
        <v>4.0</v>
      </c>
      <c r="AR7" s="7">
        <v>5.0</v>
      </c>
      <c r="AS7" s="7">
        <v>4.0</v>
      </c>
      <c r="AT7" s="7">
        <v>5.0</v>
      </c>
      <c r="AU7" s="7">
        <v>4.0</v>
      </c>
      <c r="AV7" s="7">
        <v>5.0</v>
      </c>
      <c r="AW7" s="7">
        <v>4.0</v>
      </c>
      <c r="AX7" s="7">
        <v>5.0</v>
      </c>
      <c r="AY7" s="8">
        <v>4.0</v>
      </c>
      <c r="AZ7" s="7">
        <v>5.0</v>
      </c>
    </row>
    <row r="8">
      <c r="B8" s="7">
        <v>3.0</v>
      </c>
      <c r="C8" s="7">
        <v>3.0</v>
      </c>
      <c r="D8" s="7">
        <v>5.0</v>
      </c>
      <c r="E8" s="7">
        <v>2.0</v>
      </c>
      <c r="F8" s="8">
        <v>2.0</v>
      </c>
      <c r="G8" s="7">
        <v>4.0</v>
      </c>
      <c r="H8" s="7">
        <v>3.0</v>
      </c>
      <c r="I8" s="7">
        <v>2.0</v>
      </c>
      <c r="J8" s="7">
        <v>5.0</v>
      </c>
      <c r="K8" s="7">
        <v>1.0</v>
      </c>
      <c r="L8" s="7">
        <v>3.0</v>
      </c>
      <c r="M8" s="7">
        <v>3.0</v>
      </c>
      <c r="N8" s="7">
        <v>1.0</v>
      </c>
      <c r="O8" s="7">
        <v>1.0</v>
      </c>
      <c r="P8" s="7">
        <v>1.0</v>
      </c>
      <c r="Q8" s="7">
        <v>1.0</v>
      </c>
      <c r="R8" s="7">
        <v>1.0</v>
      </c>
      <c r="S8" s="7">
        <v>1.0</v>
      </c>
      <c r="T8" s="7">
        <v>1.0</v>
      </c>
      <c r="U8" s="7">
        <v>5.0</v>
      </c>
      <c r="V8" s="7">
        <v>3.0</v>
      </c>
      <c r="W8" s="7">
        <v>4.0</v>
      </c>
      <c r="X8" s="7">
        <v>4.0</v>
      </c>
      <c r="Y8" s="7">
        <v>4.0</v>
      </c>
      <c r="Z8" s="7">
        <v>4.0</v>
      </c>
      <c r="AA8" s="7">
        <v>3.0</v>
      </c>
      <c r="AB8" s="7">
        <v>4.0</v>
      </c>
      <c r="AC8" s="7">
        <v>3.0</v>
      </c>
      <c r="AD8" s="7">
        <v>3.0</v>
      </c>
      <c r="AE8" s="7">
        <v>3.0</v>
      </c>
      <c r="AF8" s="7">
        <v>3.0</v>
      </c>
      <c r="AG8" s="7">
        <v>3.0</v>
      </c>
      <c r="AH8" s="7">
        <v>3.0</v>
      </c>
      <c r="AI8" s="7">
        <v>3.0</v>
      </c>
      <c r="AJ8" s="7">
        <v>3.0</v>
      </c>
      <c r="AK8" s="7">
        <v>5.0</v>
      </c>
      <c r="AL8" s="7">
        <v>5.0</v>
      </c>
      <c r="AM8" s="7">
        <v>5.0</v>
      </c>
      <c r="AN8" s="7">
        <v>5.0</v>
      </c>
      <c r="AO8" s="7">
        <v>5.0</v>
      </c>
      <c r="AP8" s="7">
        <v>5.0</v>
      </c>
      <c r="AQ8" s="7">
        <v>5.0</v>
      </c>
      <c r="AR8" s="7">
        <v>4.0</v>
      </c>
      <c r="AS8" s="7">
        <v>5.0</v>
      </c>
      <c r="AT8" s="7">
        <v>5.0</v>
      </c>
      <c r="AU8" s="7">
        <v>5.0</v>
      </c>
      <c r="AV8" s="7">
        <v>4.0</v>
      </c>
      <c r="AW8" s="7">
        <v>2.0</v>
      </c>
      <c r="AX8" s="7">
        <v>2.0</v>
      </c>
      <c r="AY8" s="8">
        <v>2.0</v>
      </c>
      <c r="AZ8" s="7">
        <v>2.0</v>
      </c>
    </row>
    <row r="9">
      <c r="B9" s="7">
        <v>5.0</v>
      </c>
      <c r="C9" s="7">
        <v>5.0</v>
      </c>
      <c r="D9" s="7">
        <v>5.0</v>
      </c>
      <c r="E9" s="7">
        <v>5.0</v>
      </c>
      <c r="F9" s="8">
        <v>5.0</v>
      </c>
      <c r="G9" s="7">
        <v>5.0</v>
      </c>
      <c r="H9" s="7">
        <v>5.0</v>
      </c>
      <c r="I9" s="7">
        <v>5.0</v>
      </c>
      <c r="J9" s="7">
        <v>5.0</v>
      </c>
      <c r="K9" s="7">
        <v>5.0</v>
      </c>
      <c r="L9" s="7">
        <v>5.0</v>
      </c>
      <c r="M9" s="7">
        <v>5.0</v>
      </c>
      <c r="N9" s="7">
        <v>5.0</v>
      </c>
      <c r="O9" s="7">
        <v>5.0</v>
      </c>
      <c r="P9" s="7">
        <v>5.0</v>
      </c>
      <c r="Q9" s="7">
        <v>5.0</v>
      </c>
      <c r="R9" s="7">
        <v>5.0</v>
      </c>
      <c r="S9" s="7">
        <v>5.0</v>
      </c>
      <c r="T9" s="7">
        <v>5.0</v>
      </c>
      <c r="U9" s="7">
        <v>5.0</v>
      </c>
      <c r="V9" s="7">
        <v>5.0</v>
      </c>
      <c r="W9" s="7">
        <v>5.0</v>
      </c>
      <c r="X9" s="7">
        <v>5.0</v>
      </c>
      <c r="Y9" s="7">
        <v>5.0</v>
      </c>
      <c r="Z9" s="7">
        <v>5.0</v>
      </c>
      <c r="AA9" s="7">
        <v>5.0</v>
      </c>
      <c r="AB9" s="7">
        <v>5.0</v>
      </c>
      <c r="AC9" s="7">
        <v>5.0</v>
      </c>
      <c r="AD9" s="7">
        <v>5.0</v>
      </c>
      <c r="AE9" s="7">
        <v>5.0</v>
      </c>
      <c r="AF9" s="7">
        <v>5.0</v>
      </c>
      <c r="AG9" s="7">
        <v>5.0</v>
      </c>
      <c r="AH9" s="7">
        <v>5.0</v>
      </c>
      <c r="AI9" s="7">
        <v>5.0</v>
      </c>
      <c r="AJ9" s="7">
        <v>5.0</v>
      </c>
      <c r="AK9" s="7">
        <v>5.0</v>
      </c>
      <c r="AL9" s="7">
        <v>5.0</v>
      </c>
      <c r="AM9" s="7">
        <v>5.0</v>
      </c>
      <c r="AN9" s="7">
        <v>5.0</v>
      </c>
      <c r="AO9" s="7">
        <v>5.0</v>
      </c>
      <c r="AP9" s="7">
        <v>5.0</v>
      </c>
      <c r="AQ9" s="7">
        <v>5.0</v>
      </c>
      <c r="AR9" s="7">
        <v>5.0</v>
      </c>
      <c r="AS9" s="7">
        <v>5.0</v>
      </c>
      <c r="AT9" s="7">
        <v>5.0</v>
      </c>
      <c r="AU9" s="7">
        <v>5.0</v>
      </c>
      <c r="AV9" s="7">
        <v>5.0</v>
      </c>
      <c r="AW9" s="7">
        <v>5.0</v>
      </c>
      <c r="AX9" s="7">
        <v>5.0</v>
      </c>
      <c r="AY9" s="8">
        <v>5.0</v>
      </c>
      <c r="AZ9" s="7">
        <v>5.0</v>
      </c>
    </row>
    <row r="10">
      <c r="B10" s="7">
        <v>5.0</v>
      </c>
      <c r="C10" s="7">
        <v>4.0</v>
      </c>
      <c r="D10" s="7">
        <v>4.0</v>
      </c>
      <c r="E10" s="7">
        <v>4.0</v>
      </c>
      <c r="F10" s="8">
        <v>4.0</v>
      </c>
      <c r="G10" s="7">
        <v>4.0</v>
      </c>
      <c r="H10" s="7">
        <v>4.0</v>
      </c>
      <c r="I10" s="7">
        <v>4.0</v>
      </c>
      <c r="J10" s="7">
        <v>4.0</v>
      </c>
      <c r="K10" s="7">
        <v>4.0</v>
      </c>
      <c r="L10" s="7">
        <v>5.0</v>
      </c>
      <c r="M10" s="7">
        <v>4.0</v>
      </c>
      <c r="N10" s="7">
        <v>4.0</v>
      </c>
      <c r="O10" s="7">
        <v>4.0</v>
      </c>
      <c r="P10" s="7">
        <v>3.0</v>
      </c>
      <c r="Q10" s="7">
        <v>5.0</v>
      </c>
      <c r="R10" s="7">
        <v>4.0</v>
      </c>
      <c r="S10" s="7">
        <v>4.0</v>
      </c>
      <c r="T10" s="7">
        <v>4.0</v>
      </c>
      <c r="U10" s="7">
        <v>4.0</v>
      </c>
      <c r="V10" s="7">
        <v>5.0</v>
      </c>
      <c r="W10" s="7">
        <v>4.0</v>
      </c>
      <c r="X10" s="7">
        <v>4.0</v>
      </c>
      <c r="Y10" s="7">
        <v>4.0</v>
      </c>
      <c r="Z10" s="7">
        <v>4.0</v>
      </c>
      <c r="AA10" s="7">
        <v>3.0</v>
      </c>
      <c r="AB10" s="7">
        <v>4.0</v>
      </c>
      <c r="AC10" s="7">
        <v>4.0</v>
      </c>
      <c r="AD10" s="7">
        <v>5.0</v>
      </c>
      <c r="AE10" s="7">
        <v>4.0</v>
      </c>
      <c r="AF10" s="7">
        <v>4.0</v>
      </c>
      <c r="AG10" s="7">
        <v>4.0</v>
      </c>
      <c r="AH10" s="7">
        <v>4.0</v>
      </c>
      <c r="AI10" s="7">
        <v>3.0</v>
      </c>
      <c r="AJ10" s="7">
        <v>4.0</v>
      </c>
      <c r="AK10" s="7">
        <v>4.0</v>
      </c>
      <c r="AL10" s="7">
        <v>4.0</v>
      </c>
      <c r="AM10" s="7">
        <v>4.0</v>
      </c>
      <c r="AN10" s="7">
        <v>4.0</v>
      </c>
      <c r="AO10" s="7">
        <v>4.0</v>
      </c>
      <c r="AP10" s="7">
        <v>4.0</v>
      </c>
      <c r="AQ10" s="7">
        <v>4.0</v>
      </c>
      <c r="AR10" s="7">
        <v>4.0</v>
      </c>
      <c r="AS10" s="7">
        <v>4.0</v>
      </c>
      <c r="AT10" s="7">
        <v>4.0</v>
      </c>
      <c r="AU10" s="7">
        <v>4.0</v>
      </c>
      <c r="AV10" s="7">
        <v>4.0</v>
      </c>
      <c r="AW10" s="7">
        <v>4.0</v>
      </c>
      <c r="AX10" s="7">
        <v>4.0</v>
      </c>
      <c r="AY10" s="8">
        <v>4.0</v>
      </c>
      <c r="AZ10" s="7">
        <v>4.0</v>
      </c>
    </row>
    <row r="11">
      <c r="B11" s="7">
        <v>2.0</v>
      </c>
      <c r="C11" s="7">
        <v>1.0</v>
      </c>
      <c r="D11" s="7">
        <v>3.0</v>
      </c>
      <c r="E11" s="7">
        <v>4.0</v>
      </c>
      <c r="F11" s="8">
        <v>2.0</v>
      </c>
      <c r="G11" s="7">
        <v>4.0</v>
      </c>
      <c r="H11" s="7">
        <v>4.0</v>
      </c>
      <c r="I11" s="7">
        <v>5.0</v>
      </c>
      <c r="J11" s="7">
        <v>5.0</v>
      </c>
      <c r="K11" s="7">
        <v>4.0</v>
      </c>
      <c r="L11" s="7">
        <v>4.0</v>
      </c>
      <c r="M11" s="7">
        <v>4.0</v>
      </c>
      <c r="N11" s="7">
        <v>4.0</v>
      </c>
      <c r="O11" s="7">
        <v>4.0</v>
      </c>
      <c r="P11" s="7">
        <v>4.0</v>
      </c>
      <c r="Q11" s="7">
        <v>4.0</v>
      </c>
      <c r="R11" s="7">
        <v>5.0</v>
      </c>
      <c r="S11" s="7">
        <v>5.0</v>
      </c>
      <c r="T11" s="7">
        <v>5.0</v>
      </c>
      <c r="U11" s="7">
        <v>2.0</v>
      </c>
      <c r="V11" s="7">
        <v>5.0</v>
      </c>
      <c r="W11" s="7">
        <v>2.0</v>
      </c>
      <c r="X11" s="7">
        <v>4.0</v>
      </c>
      <c r="Y11" s="7">
        <v>4.0</v>
      </c>
      <c r="Z11" s="7">
        <v>4.0</v>
      </c>
      <c r="AA11" s="7">
        <v>5.0</v>
      </c>
      <c r="AB11" s="7">
        <v>2.0</v>
      </c>
      <c r="AC11" s="7">
        <v>2.0</v>
      </c>
      <c r="AD11" s="7">
        <v>2.0</v>
      </c>
      <c r="AE11" s="7">
        <v>4.0</v>
      </c>
      <c r="AF11" s="7">
        <v>2.0</v>
      </c>
      <c r="AG11" s="7">
        <v>4.0</v>
      </c>
      <c r="AH11" s="7">
        <v>2.0</v>
      </c>
      <c r="AI11" s="7">
        <v>4.0</v>
      </c>
      <c r="AJ11" s="7">
        <v>2.0</v>
      </c>
      <c r="AK11" s="7">
        <v>4.0</v>
      </c>
      <c r="AL11" s="7">
        <v>3.0</v>
      </c>
      <c r="AM11" s="7">
        <v>4.0</v>
      </c>
      <c r="AN11" s="7">
        <v>4.0</v>
      </c>
      <c r="AO11" s="7">
        <v>4.0</v>
      </c>
      <c r="AP11" s="7">
        <v>2.0</v>
      </c>
      <c r="AQ11" s="7">
        <v>4.0</v>
      </c>
      <c r="AR11" s="7">
        <v>4.0</v>
      </c>
      <c r="AS11" s="7">
        <v>4.0</v>
      </c>
      <c r="AT11" s="7">
        <v>4.0</v>
      </c>
      <c r="AU11" s="7">
        <v>4.0</v>
      </c>
      <c r="AV11" s="7">
        <v>4.0</v>
      </c>
      <c r="AW11" s="7">
        <v>4.0</v>
      </c>
      <c r="AX11" s="7">
        <v>2.0</v>
      </c>
      <c r="AY11" s="8">
        <v>2.0</v>
      </c>
      <c r="AZ11" s="7">
        <v>4.0</v>
      </c>
    </row>
    <row r="12">
      <c r="B12" s="7">
        <v>2.0</v>
      </c>
      <c r="C12" s="7">
        <v>2.0</v>
      </c>
      <c r="D12" s="7">
        <v>2.0</v>
      </c>
      <c r="E12" s="7">
        <v>2.0</v>
      </c>
      <c r="F12" s="8">
        <v>2.0</v>
      </c>
      <c r="G12" s="7">
        <v>4.0</v>
      </c>
      <c r="H12" s="7">
        <v>4.0</v>
      </c>
      <c r="I12" s="7">
        <v>4.0</v>
      </c>
      <c r="J12" s="7">
        <v>4.0</v>
      </c>
      <c r="K12" s="7">
        <v>4.0</v>
      </c>
      <c r="L12" s="7">
        <v>4.0</v>
      </c>
      <c r="M12" s="7">
        <v>4.0</v>
      </c>
      <c r="N12" s="7">
        <v>4.0</v>
      </c>
      <c r="O12" s="7">
        <v>4.0</v>
      </c>
      <c r="P12" s="7">
        <v>4.0</v>
      </c>
      <c r="Q12" s="7">
        <v>4.0</v>
      </c>
      <c r="R12" s="7">
        <v>4.0</v>
      </c>
      <c r="S12" s="7">
        <v>4.0</v>
      </c>
      <c r="T12" s="7">
        <v>4.0</v>
      </c>
      <c r="U12" s="7">
        <v>1.0</v>
      </c>
      <c r="V12" s="7">
        <v>4.0</v>
      </c>
      <c r="W12" s="7">
        <v>4.0</v>
      </c>
      <c r="X12" s="7">
        <v>4.0</v>
      </c>
      <c r="Y12" s="7">
        <v>1.0</v>
      </c>
      <c r="Z12" s="7">
        <v>1.0</v>
      </c>
      <c r="AA12" s="7">
        <v>1.0</v>
      </c>
      <c r="AB12" s="7">
        <v>1.0</v>
      </c>
      <c r="AC12" s="7">
        <v>1.0</v>
      </c>
      <c r="AD12" s="7">
        <v>1.0</v>
      </c>
      <c r="AE12" s="7">
        <v>5.0</v>
      </c>
      <c r="AF12" s="7">
        <v>5.0</v>
      </c>
      <c r="AG12" s="7">
        <v>5.0</v>
      </c>
      <c r="AH12" s="7">
        <v>5.0</v>
      </c>
      <c r="AI12" s="7">
        <v>5.0</v>
      </c>
      <c r="AJ12" s="7">
        <v>5.0</v>
      </c>
      <c r="AK12" s="7">
        <v>5.0</v>
      </c>
      <c r="AL12" s="7">
        <v>5.0</v>
      </c>
      <c r="AM12" s="7">
        <v>5.0</v>
      </c>
      <c r="AN12" s="7">
        <v>5.0</v>
      </c>
      <c r="AO12" s="7">
        <v>5.0</v>
      </c>
      <c r="AP12" s="7">
        <v>5.0</v>
      </c>
      <c r="AQ12" s="7">
        <v>5.0</v>
      </c>
      <c r="AR12" s="7">
        <v>5.0</v>
      </c>
      <c r="AS12" s="7">
        <v>5.0</v>
      </c>
      <c r="AT12" s="7">
        <v>5.0</v>
      </c>
      <c r="AU12" s="7">
        <v>5.0</v>
      </c>
      <c r="AV12" s="7">
        <v>1.0</v>
      </c>
      <c r="AW12" s="7">
        <v>5.0</v>
      </c>
      <c r="AX12" s="7">
        <v>5.0</v>
      </c>
      <c r="AY12" s="8">
        <v>1.0</v>
      </c>
      <c r="AZ12" s="7">
        <v>5.0</v>
      </c>
    </row>
    <row r="13">
      <c r="B13" s="7">
        <v>2.0</v>
      </c>
      <c r="C13" s="7">
        <v>4.0</v>
      </c>
      <c r="D13" s="7">
        <v>3.0</v>
      </c>
      <c r="E13" s="7">
        <v>1.0</v>
      </c>
      <c r="F13" s="8">
        <v>2.0</v>
      </c>
      <c r="G13" s="7">
        <v>5.0</v>
      </c>
      <c r="H13" s="7">
        <v>4.0</v>
      </c>
      <c r="I13" s="7">
        <v>5.0</v>
      </c>
      <c r="J13" s="7">
        <v>4.0</v>
      </c>
      <c r="K13" s="7">
        <v>5.0</v>
      </c>
      <c r="L13" s="7">
        <v>2.0</v>
      </c>
      <c r="M13" s="7">
        <v>3.0</v>
      </c>
      <c r="N13" s="7">
        <v>4.0</v>
      </c>
      <c r="O13" s="7">
        <v>5.0</v>
      </c>
      <c r="P13" s="7">
        <v>5.0</v>
      </c>
      <c r="Q13" s="7">
        <v>5.0</v>
      </c>
      <c r="R13" s="7">
        <v>5.0</v>
      </c>
      <c r="S13" s="7">
        <v>4.0</v>
      </c>
      <c r="T13" s="7">
        <v>3.0</v>
      </c>
      <c r="U13" s="7">
        <v>4.0</v>
      </c>
      <c r="V13" s="7">
        <v>4.0</v>
      </c>
      <c r="W13" s="7">
        <v>2.0</v>
      </c>
      <c r="X13" s="7">
        <v>5.0</v>
      </c>
      <c r="Y13" s="7">
        <v>2.0</v>
      </c>
      <c r="Z13" s="7">
        <v>4.0</v>
      </c>
      <c r="AA13" s="7">
        <v>5.0</v>
      </c>
      <c r="AB13" s="7">
        <v>2.0</v>
      </c>
      <c r="AC13" s="7">
        <v>4.0</v>
      </c>
      <c r="AD13" s="7">
        <v>3.0</v>
      </c>
      <c r="AE13" s="7">
        <v>5.0</v>
      </c>
      <c r="AF13" s="7">
        <v>4.0</v>
      </c>
      <c r="AG13" s="7">
        <v>5.0</v>
      </c>
      <c r="AH13" s="7">
        <v>3.0</v>
      </c>
      <c r="AI13" s="7">
        <v>2.0</v>
      </c>
      <c r="AJ13" s="7">
        <v>4.0</v>
      </c>
      <c r="AK13" s="7">
        <v>3.0</v>
      </c>
      <c r="AL13" s="7">
        <v>4.0</v>
      </c>
      <c r="AM13" s="7">
        <v>4.0</v>
      </c>
      <c r="AN13" s="7">
        <v>3.0</v>
      </c>
      <c r="AO13" s="7">
        <v>2.0</v>
      </c>
      <c r="AP13" s="7">
        <v>3.0</v>
      </c>
      <c r="AQ13" s="7">
        <v>4.0</v>
      </c>
      <c r="AR13" s="7">
        <v>4.0</v>
      </c>
      <c r="AS13" s="7">
        <v>4.0</v>
      </c>
      <c r="AT13" s="7">
        <v>2.0</v>
      </c>
      <c r="AU13" s="7">
        <v>3.0</v>
      </c>
      <c r="AV13" s="7">
        <v>4.0</v>
      </c>
      <c r="AW13" s="7">
        <v>4.0</v>
      </c>
      <c r="AX13" s="7">
        <v>3.0</v>
      </c>
      <c r="AY13" s="8">
        <v>5.0</v>
      </c>
      <c r="AZ13" s="7">
        <v>5.0</v>
      </c>
    </row>
    <row r="14">
      <c r="B14" s="7">
        <v>3.0</v>
      </c>
      <c r="C14" s="7">
        <v>4.0</v>
      </c>
      <c r="D14" s="7">
        <v>4.0</v>
      </c>
      <c r="E14" s="7">
        <v>4.0</v>
      </c>
      <c r="F14" s="8">
        <v>2.0</v>
      </c>
      <c r="G14" s="7">
        <v>3.0</v>
      </c>
      <c r="H14" s="7">
        <v>4.0</v>
      </c>
      <c r="I14" s="7">
        <v>4.0</v>
      </c>
      <c r="J14" s="7">
        <v>3.0</v>
      </c>
      <c r="K14" s="7">
        <v>3.0</v>
      </c>
      <c r="L14" s="7">
        <v>4.0</v>
      </c>
      <c r="M14" s="7">
        <v>4.0</v>
      </c>
      <c r="N14" s="7">
        <v>4.0</v>
      </c>
      <c r="O14" s="7">
        <v>4.0</v>
      </c>
      <c r="P14" s="7">
        <v>4.0</v>
      </c>
      <c r="Q14" s="7">
        <v>3.0</v>
      </c>
      <c r="R14" s="7">
        <v>3.0</v>
      </c>
      <c r="S14" s="7">
        <v>4.0</v>
      </c>
      <c r="T14" s="7">
        <v>3.0</v>
      </c>
      <c r="U14" s="7">
        <v>4.0</v>
      </c>
      <c r="V14" s="7">
        <v>3.0</v>
      </c>
      <c r="W14" s="7">
        <v>3.0</v>
      </c>
      <c r="X14" s="7">
        <v>3.0</v>
      </c>
      <c r="Y14" s="7">
        <v>3.0</v>
      </c>
      <c r="Z14" s="7">
        <v>5.0</v>
      </c>
      <c r="AA14" s="7">
        <v>4.0</v>
      </c>
      <c r="AB14" s="7">
        <v>3.0</v>
      </c>
      <c r="AC14" s="7">
        <v>4.0</v>
      </c>
      <c r="AD14" s="7">
        <v>3.0</v>
      </c>
      <c r="AE14" s="7">
        <v>3.0</v>
      </c>
      <c r="AF14" s="7">
        <v>3.0</v>
      </c>
      <c r="AG14" s="7">
        <v>4.0</v>
      </c>
      <c r="AH14" s="7">
        <v>4.0</v>
      </c>
      <c r="AI14" s="7">
        <v>4.0</v>
      </c>
      <c r="AJ14" s="7">
        <v>4.0</v>
      </c>
      <c r="AK14" s="7">
        <v>4.0</v>
      </c>
      <c r="AL14" s="7">
        <v>2.0</v>
      </c>
      <c r="AM14" s="7">
        <v>1.0</v>
      </c>
      <c r="AN14" s="7">
        <v>4.0</v>
      </c>
      <c r="AO14" s="7">
        <v>4.0</v>
      </c>
      <c r="AP14" s="7">
        <v>4.0</v>
      </c>
      <c r="AQ14" s="7">
        <v>4.0</v>
      </c>
      <c r="AR14" s="7">
        <v>3.0</v>
      </c>
      <c r="AS14" s="7">
        <v>3.0</v>
      </c>
      <c r="AT14" s="7">
        <v>4.0</v>
      </c>
      <c r="AU14" s="7">
        <v>3.0</v>
      </c>
      <c r="AV14" s="7">
        <v>3.0</v>
      </c>
      <c r="AW14" s="7">
        <v>4.0</v>
      </c>
      <c r="AX14" s="7">
        <v>4.0</v>
      </c>
      <c r="AY14" s="8">
        <v>3.0</v>
      </c>
      <c r="AZ14" s="7">
        <v>3.0</v>
      </c>
    </row>
    <row r="15">
      <c r="B15" s="7">
        <v>4.0</v>
      </c>
      <c r="C15" s="7">
        <v>5.0</v>
      </c>
      <c r="D15" s="7">
        <v>5.0</v>
      </c>
      <c r="E15" s="7">
        <v>5.0</v>
      </c>
      <c r="F15" s="8">
        <v>2.0</v>
      </c>
      <c r="G15" s="7">
        <v>3.0</v>
      </c>
      <c r="H15" s="7">
        <v>4.0</v>
      </c>
      <c r="I15" s="7">
        <v>3.0</v>
      </c>
      <c r="J15" s="7">
        <v>4.0</v>
      </c>
      <c r="K15" s="7">
        <v>4.0</v>
      </c>
      <c r="L15" s="7">
        <v>1.0</v>
      </c>
      <c r="M15" s="7">
        <v>2.0</v>
      </c>
      <c r="N15" s="7">
        <v>2.0</v>
      </c>
      <c r="O15" s="7">
        <v>2.0</v>
      </c>
      <c r="P15" s="7">
        <v>3.0</v>
      </c>
      <c r="Q15" s="7">
        <v>4.0</v>
      </c>
      <c r="R15" s="7">
        <v>3.0</v>
      </c>
      <c r="S15" s="7">
        <v>3.0</v>
      </c>
      <c r="T15" s="7">
        <v>3.0</v>
      </c>
      <c r="U15" s="7">
        <v>3.0</v>
      </c>
      <c r="V15" s="7">
        <v>4.0</v>
      </c>
      <c r="W15" s="7">
        <v>2.0</v>
      </c>
      <c r="X15" s="7">
        <v>3.0</v>
      </c>
      <c r="Y15" s="7">
        <v>4.0</v>
      </c>
      <c r="Z15" s="7">
        <v>4.0</v>
      </c>
      <c r="AA15" s="7">
        <v>1.0</v>
      </c>
      <c r="AB15" s="7">
        <v>4.0</v>
      </c>
      <c r="AC15" s="7">
        <v>5.0</v>
      </c>
      <c r="AD15" s="7">
        <v>5.0</v>
      </c>
      <c r="AE15" s="7">
        <v>4.0</v>
      </c>
      <c r="AF15" s="7">
        <v>3.0</v>
      </c>
      <c r="AG15" s="7">
        <v>4.0</v>
      </c>
      <c r="AH15" s="7">
        <v>3.0</v>
      </c>
      <c r="AI15" s="7">
        <v>4.0</v>
      </c>
      <c r="AJ15" s="7">
        <v>4.0</v>
      </c>
      <c r="AK15" s="7">
        <v>4.0</v>
      </c>
      <c r="AL15" s="7">
        <v>2.0</v>
      </c>
      <c r="AM15" s="7">
        <v>2.0</v>
      </c>
      <c r="AN15" s="7">
        <v>3.0</v>
      </c>
      <c r="AO15" s="7">
        <v>2.0</v>
      </c>
      <c r="AP15" s="7">
        <v>2.0</v>
      </c>
      <c r="AQ15" s="7">
        <v>4.0</v>
      </c>
      <c r="AR15" s="7">
        <v>2.0</v>
      </c>
      <c r="AS15" s="7">
        <v>2.0</v>
      </c>
      <c r="AT15" s="7">
        <v>2.0</v>
      </c>
      <c r="AU15" s="7">
        <v>3.0</v>
      </c>
      <c r="AV15" s="7">
        <v>4.0</v>
      </c>
      <c r="AW15" s="7">
        <v>4.0</v>
      </c>
      <c r="AX15" s="7">
        <v>3.0</v>
      </c>
      <c r="AY15" s="8">
        <v>2.0</v>
      </c>
      <c r="AZ15" s="7">
        <v>4.0</v>
      </c>
    </row>
    <row r="16">
      <c r="B16" s="7">
        <v>5.0</v>
      </c>
      <c r="C16" s="7">
        <v>5.0</v>
      </c>
      <c r="D16" s="7">
        <v>5.0</v>
      </c>
      <c r="E16" s="7">
        <v>5.0</v>
      </c>
      <c r="F16" s="8">
        <v>5.0</v>
      </c>
      <c r="G16" s="7">
        <v>5.0</v>
      </c>
      <c r="H16" s="7">
        <v>4.0</v>
      </c>
      <c r="I16" s="7">
        <v>4.0</v>
      </c>
      <c r="J16" s="7">
        <v>4.0</v>
      </c>
      <c r="K16" s="7">
        <v>4.0</v>
      </c>
      <c r="L16" s="7">
        <v>5.0</v>
      </c>
      <c r="M16" s="7">
        <v>5.0</v>
      </c>
      <c r="N16" s="7">
        <v>4.0</v>
      </c>
      <c r="O16" s="7">
        <v>3.0</v>
      </c>
      <c r="P16" s="7">
        <v>4.0</v>
      </c>
      <c r="Q16" s="7">
        <v>4.0</v>
      </c>
      <c r="R16" s="7">
        <v>4.0</v>
      </c>
      <c r="S16" s="7">
        <v>4.0</v>
      </c>
      <c r="T16" s="7">
        <v>4.0</v>
      </c>
      <c r="U16" s="7">
        <v>4.0</v>
      </c>
      <c r="V16" s="7">
        <v>4.0</v>
      </c>
      <c r="W16" s="7">
        <v>4.0</v>
      </c>
      <c r="X16" s="7">
        <v>4.0</v>
      </c>
      <c r="Y16" s="7">
        <v>4.0</v>
      </c>
      <c r="Z16" s="7">
        <v>4.0</v>
      </c>
      <c r="AA16" s="7">
        <v>4.0</v>
      </c>
      <c r="AB16" s="7">
        <v>4.0</v>
      </c>
      <c r="AC16" s="7">
        <v>4.0</v>
      </c>
      <c r="AD16" s="7">
        <v>5.0</v>
      </c>
      <c r="AE16" s="7">
        <v>5.0</v>
      </c>
      <c r="AF16" s="7">
        <v>5.0</v>
      </c>
      <c r="AG16" s="7">
        <v>5.0</v>
      </c>
      <c r="AH16" s="7">
        <v>5.0</v>
      </c>
      <c r="AI16" s="7">
        <v>5.0</v>
      </c>
      <c r="AJ16" s="7">
        <v>5.0</v>
      </c>
      <c r="AK16" s="7">
        <v>5.0</v>
      </c>
      <c r="AL16" s="7">
        <v>5.0</v>
      </c>
      <c r="AM16" s="7">
        <v>5.0</v>
      </c>
      <c r="AN16" s="7">
        <v>5.0</v>
      </c>
      <c r="AO16" s="7">
        <v>5.0</v>
      </c>
      <c r="AP16" s="7">
        <v>5.0</v>
      </c>
      <c r="AQ16" s="7">
        <v>5.0</v>
      </c>
      <c r="AR16" s="7">
        <v>5.0</v>
      </c>
      <c r="AS16" s="7">
        <v>4.0</v>
      </c>
      <c r="AT16" s="7">
        <v>4.0</v>
      </c>
      <c r="AU16" s="7">
        <v>4.0</v>
      </c>
      <c r="AV16" s="7">
        <v>5.0</v>
      </c>
      <c r="AW16" s="7">
        <v>5.0</v>
      </c>
      <c r="AX16" s="7">
        <v>5.0</v>
      </c>
      <c r="AY16" s="8">
        <v>5.0</v>
      </c>
      <c r="AZ16" s="7">
        <v>5.0</v>
      </c>
    </row>
    <row r="17">
      <c r="B17" s="7">
        <v>4.0</v>
      </c>
      <c r="C17" s="7">
        <v>4.0</v>
      </c>
      <c r="D17" s="7">
        <v>4.0</v>
      </c>
      <c r="E17" s="7">
        <v>4.0</v>
      </c>
      <c r="F17" s="8">
        <v>4.0</v>
      </c>
      <c r="G17" s="7">
        <v>3.0</v>
      </c>
      <c r="H17" s="7">
        <v>4.0</v>
      </c>
      <c r="I17" s="7">
        <v>3.0</v>
      </c>
      <c r="J17" s="7">
        <v>5.0</v>
      </c>
      <c r="K17" s="7">
        <v>5.0</v>
      </c>
      <c r="L17" s="7">
        <v>3.0</v>
      </c>
      <c r="M17" s="7">
        <v>4.0</v>
      </c>
      <c r="N17" s="7">
        <v>3.0</v>
      </c>
      <c r="O17" s="7">
        <v>4.0</v>
      </c>
      <c r="P17" s="7">
        <v>5.0</v>
      </c>
      <c r="Q17" s="7">
        <v>3.0</v>
      </c>
      <c r="R17" s="7">
        <v>3.0</v>
      </c>
      <c r="S17" s="7">
        <v>3.0</v>
      </c>
      <c r="T17" s="7">
        <v>4.0</v>
      </c>
      <c r="U17" s="7">
        <v>4.0</v>
      </c>
      <c r="V17" s="7">
        <v>4.0</v>
      </c>
      <c r="W17" s="7">
        <v>3.0</v>
      </c>
      <c r="X17" s="7">
        <v>5.0</v>
      </c>
      <c r="Y17" s="7">
        <v>4.0</v>
      </c>
      <c r="Z17" s="7">
        <v>3.0</v>
      </c>
      <c r="AA17" s="7">
        <v>4.0</v>
      </c>
      <c r="AB17" s="7">
        <v>3.0</v>
      </c>
      <c r="AC17" s="7">
        <v>5.0</v>
      </c>
      <c r="AD17" s="7">
        <v>4.0</v>
      </c>
      <c r="AE17" s="7">
        <v>4.0</v>
      </c>
      <c r="AF17" s="7">
        <v>4.0</v>
      </c>
      <c r="AG17" s="7">
        <v>3.0</v>
      </c>
      <c r="AH17" s="7">
        <v>2.0</v>
      </c>
      <c r="AI17" s="7">
        <v>4.0</v>
      </c>
      <c r="AJ17" s="7">
        <v>5.0</v>
      </c>
      <c r="AK17" s="7">
        <v>3.0</v>
      </c>
      <c r="AL17" s="7">
        <v>4.0</v>
      </c>
      <c r="AM17" s="7">
        <v>5.0</v>
      </c>
      <c r="AN17" s="7">
        <v>3.0</v>
      </c>
      <c r="AO17" s="7">
        <v>4.0</v>
      </c>
      <c r="AP17" s="7">
        <v>4.0</v>
      </c>
      <c r="AQ17" s="7">
        <v>3.0</v>
      </c>
      <c r="AR17" s="7">
        <v>5.0</v>
      </c>
      <c r="AS17" s="7">
        <v>4.0</v>
      </c>
      <c r="AT17" s="7">
        <v>5.0</v>
      </c>
      <c r="AU17" s="7">
        <v>5.0</v>
      </c>
      <c r="AV17" s="7">
        <v>4.0</v>
      </c>
      <c r="AW17" s="7">
        <v>5.0</v>
      </c>
      <c r="AX17" s="7">
        <v>5.0</v>
      </c>
      <c r="AY17" s="8">
        <v>5.0</v>
      </c>
      <c r="AZ17" s="7">
        <v>3.0</v>
      </c>
    </row>
    <row r="18">
      <c r="A18" s="9" t="s">
        <v>110</v>
      </c>
      <c r="B18" s="10">
        <f t="shared" ref="B18:AZ18" si="1">AVERAGE(B2:B17)</f>
        <v>3.8125</v>
      </c>
      <c r="C18" s="10">
        <f t="shared" si="1"/>
        <v>3.8125</v>
      </c>
      <c r="D18" s="10">
        <f t="shared" si="1"/>
        <v>4.125</v>
      </c>
      <c r="E18" s="10">
        <f t="shared" si="1"/>
        <v>3.875</v>
      </c>
      <c r="F18" s="11">
        <f t="shared" si="1"/>
        <v>3.1875</v>
      </c>
      <c r="G18" s="10">
        <f t="shared" si="1"/>
        <v>4</v>
      </c>
      <c r="H18" s="10">
        <f t="shared" si="1"/>
        <v>3.8125</v>
      </c>
      <c r="I18" s="10">
        <f t="shared" si="1"/>
        <v>4.0625</v>
      </c>
      <c r="J18" s="10">
        <f t="shared" si="1"/>
        <v>4.1875</v>
      </c>
      <c r="K18" s="10">
        <f t="shared" si="1"/>
        <v>4.0625</v>
      </c>
      <c r="L18" s="10">
        <f t="shared" si="1"/>
        <v>3.8125</v>
      </c>
      <c r="M18" s="10">
        <f t="shared" si="1"/>
        <v>4.0625</v>
      </c>
      <c r="N18" s="10">
        <f t="shared" si="1"/>
        <v>3.8125</v>
      </c>
      <c r="O18" s="10">
        <f t="shared" si="1"/>
        <v>3.9375</v>
      </c>
      <c r="P18" s="10">
        <f t="shared" si="1"/>
        <v>4.125</v>
      </c>
      <c r="Q18" s="10">
        <f t="shared" si="1"/>
        <v>4</v>
      </c>
      <c r="R18" s="10">
        <f t="shared" si="1"/>
        <v>4</v>
      </c>
      <c r="S18" s="10">
        <f t="shared" si="1"/>
        <v>4</v>
      </c>
      <c r="T18" s="10">
        <f t="shared" si="1"/>
        <v>3.8125</v>
      </c>
      <c r="U18" s="10">
        <f t="shared" si="1"/>
        <v>3.6875</v>
      </c>
      <c r="V18" s="10">
        <f t="shared" si="1"/>
        <v>4</v>
      </c>
      <c r="W18" s="10">
        <f t="shared" si="1"/>
        <v>3.625</v>
      </c>
      <c r="X18" s="10">
        <f t="shared" si="1"/>
        <v>4.0625</v>
      </c>
      <c r="Y18" s="10">
        <f t="shared" si="1"/>
        <v>3.4375</v>
      </c>
      <c r="Z18" s="10">
        <f t="shared" si="1"/>
        <v>3.875</v>
      </c>
      <c r="AA18" s="10">
        <f t="shared" si="1"/>
        <v>3.6875</v>
      </c>
      <c r="AB18" s="10">
        <f t="shared" si="1"/>
        <v>3.625</v>
      </c>
      <c r="AC18" s="10">
        <f t="shared" si="1"/>
        <v>3.6875</v>
      </c>
      <c r="AD18" s="10">
        <f t="shared" si="1"/>
        <v>3.625</v>
      </c>
      <c r="AE18" s="10">
        <f t="shared" si="1"/>
        <v>4.25</v>
      </c>
      <c r="AF18" s="10">
        <f t="shared" si="1"/>
        <v>3.9375</v>
      </c>
      <c r="AG18" s="10">
        <f t="shared" si="1"/>
        <v>4.0625</v>
      </c>
      <c r="AH18" s="10">
        <f t="shared" si="1"/>
        <v>3.8125</v>
      </c>
      <c r="AI18" s="10">
        <f t="shared" si="1"/>
        <v>4</v>
      </c>
      <c r="AJ18" s="10">
        <f t="shared" si="1"/>
        <v>4.25</v>
      </c>
      <c r="AK18" s="10">
        <f t="shared" si="1"/>
        <v>4.3125</v>
      </c>
      <c r="AL18" s="10">
        <f t="shared" si="1"/>
        <v>3.9375</v>
      </c>
      <c r="AM18" s="10">
        <f t="shared" si="1"/>
        <v>4.0625</v>
      </c>
      <c r="AN18" s="10">
        <f t="shared" si="1"/>
        <v>4.125</v>
      </c>
      <c r="AO18" s="10">
        <f t="shared" si="1"/>
        <v>3.9375</v>
      </c>
      <c r="AP18" s="10">
        <f t="shared" si="1"/>
        <v>3.75</v>
      </c>
      <c r="AQ18" s="10">
        <f t="shared" si="1"/>
        <v>4.25</v>
      </c>
      <c r="AR18" s="10">
        <f t="shared" si="1"/>
        <v>3.9375</v>
      </c>
      <c r="AS18" s="10">
        <f t="shared" si="1"/>
        <v>3.9375</v>
      </c>
      <c r="AT18" s="10">
        <f t="shared" si="1"/>
        <v>4.0625</v>
      </c>
      <c r="AU18" s="10">
        <f t="shared" si="1"/>
        <v>4.1875</v>
      </c>
      <c r="AV18" s="10">
        <f t="shared" si="1"/>
        <v>3.75</v>
      </c>
      <c r="AW18" s="10">
        <f t="shared" si="1"/>
        <v>4.1875</v>
      </c>
      <c r="AX18" s="10">
        <f t="shared" si="1"/>
        <v>3.875</v>
      </c>
      <c r="AY18" s="11">
        <f t="shared" si="1"/>
        <v>3.25</v>
      </c>
      <c r="AZ18" s="10">
        <f t="shared" si="1"/>
        <v>4.0625</v>
      </c>
    </row>
    <row r="19">
      <c r="A19" s="9" t="s">
        <v>111</v>
      </c>
      <c r="B19" s="12">
        <f t="shared" ref="B19:AZ19" si="2">MODE(B3:B17)</f>
        <v>5</v>
      </c>
      <c r="C19" s="12">
        <f t="shared" si="2"/>
        <v>5</v>
      </c>
      <c r="D19" s="12">
        <f t="shared" si="2"/>
        <v>5</v>
      </c>
      <c r="E19" s="12">
        <f t="shared" si="2"/>
        <v>5</v>
      </c>
      <c r="F19" s="13">
        <f t="shared" si="2"/>
        <v>2</v>
      </c>
      <c r="G19" s="12">
        <f t="shared" si="2"/>
        <v>3</v>
      </c>
      <c r="H19" s="12">
        <f t="shared" si="2"/>
        <v>4</v>
      </c>
      <c r="I19" s="12">
        <f t="shared" si="2"/>
        <v>4</v>
      </c>
      <c r="J19" s="12">
        <f t="shared" si="2"/>
        <v>4</v>
      </c>
      <c r="K19" s="12">
        <f t="shared" si="2"/>
        <v>4</v>
      </c>
      <c r="L19" s="12">
        <f t="shared" si="2"/>
        <v>4</v>
      </c>
      <c r="M19" s="12">
        <f t="shared" si="2"/>
        <v>4</v>
      </c>
      <c r="N19" s="12">
        <f t="shared" si="2"/>
        <v>4</v>
      </c>
      <c r="O19" s="12">
        <f t="shared" si="2"/>
        <v>4</v>
      </c>
      <c r="P19" s="12">
        <f t="shared" si="2"/>
        <v>5</v>
      </c>
      <c r="Q19" s="12">
        <f t="shared" si="2"/>
        <v>4</v>
      </c>
      <c r="R19" s="12">
        <f t="shared" si="2"/>
        <v>5</v>
      </c>
      <c r="S19" s="12">
        <f t="shared" si="2"/>
        <v>4</v>
      </c>
      <c r="T19" s="12">
        <f t="shared" si="2"/>
        <v>4</v>
      </c>
      <c r="U19" s="12">
        <f t="shared" si="2"/>
        <v>4</v>
      </c>
      <c r="V19" s="12">
        <f t="shared" si="2"/>
        <v>4</v>
      </c>
      <c r="W19" s="12">
        <f t="shared" si="2"/>
        <v>4</v>
      </c>
      <c r="X19" s="12">
        <f t="shared" si="2"/>
        <v>4</v>
      </c>
      <c r="Y19" s="12">
        <f t="shared" si="2"/>
        <v>4</v>
      </c>
      <c r="Z19" s="12">
        <f t="shared" si="2"/>
        <v>4</v>
      </c>
      <c r="AA19" s="12">
        <f t="shared" si="2"/>
        <v>4</v>
      </c>
      <c r="AB19" s="12">
        <f t="shared" si="2"/>
        <v>4</v>
      </c>
      <c r="AC19" s="12">
        <f t="shared" si="2"/>
        <v>4</v>
      </c>
      <c r="AD19" s="12">
        <f t="shared" si="2"/>
        <v>5</v>
      </c>
      <c r="AE19" s="12">
        <f t="shared" si="2"/>
        <v>4</v>
      </c>
      <c r="AF19" s="12">
        <f t="shared" si="2"/>
        <v>5</v>
      </c>
      <c r="AG19" s="12">
        <f t="shared" si="2"/>
        <v>4</v>
      </c>
      <c r="AH19" s="12">
        <f t="shared" si="2"/>
        <v>5</v>
      </c>
      <c r="AI19" s="12">
        <f t="shared" si="2"/>
        <v>4</v>
      </c>
      <c r="AJ19" s="12">
        <f t="shared" si="2"/>
        <v>5</v>
      </c>
      <c r="AK19" s="12">
        <f t="shared" si="2"/>
        <v>5</v>
      </c>
      <c r="AL19" s="12">
        <f t="shared" si="2"/>
        <v>4</v>
      </c>
      <c r="AM19" s="12">
        <f t="shared" si="2"/>
        <v>4</v>
      </c>
      <c r="AN19" s="12">
        <f t="shared" si="2"/>
        <v>4</v>
      </c>
      <c r="AO19" s="12">
        <f t="shared" si="2"/>
        <v>4</v>
      </c>
      <c r="AP19" s="12">
        <f t="shared" si="2"/>
        <v>4</v>
      </c>
      <c r="AQ19" s="12">
        <f t="shared" si="2"/>
        <v>4</v>
      </c>
      <c r="AR19" s="12">
        <f t="shared" si="2"/>
        <v>5</v>
      </c>
      <c r="AS19" s="12">
        <f t="shared" si="2"/>
        <v>4</v>
      </c>
      <c r="AT19" s="12">
        <f t="shared" si="2"/>
        <v>4</v>
      </c>
      <c r="AU19" s="12">
        <f t="shared" si="2"/>
        <v>4</v>
      </c>
      <c r="AV19" s="12">
        <f t="shared" si="2"/>
        <v>4</v>
      </c>
      <c r="AW19" s="12">
        <f t="shared" si="2"/>
        <v>4</v>
      </c>
      <c r="AX19" s="12">
        <f t="shared" si="2"/>
        <v>5</v>
      </c>
      <c r="AY19" s="13">
        <f t="shared" si="2"/>
        <v>2</v>
      </c>
      <c r="AZ19" s="12">
        <f t="shared" si="2"/>
        <v>5</v>
      </c>
    </row>
    <row r="20">
      <c r="B20" s="7" t="s">
        <v>112</v>
      </c>
      <c r="C20" s="7" t="s">
        <v>112</v>
      </c>
      <c r="D20" s="7" t="s">
        <v>112</v>
      </c>
      <c r="E20" s="7" t="s">
        <v>112</v>
      </c>
      <c r="F20" s="8" t="s">
        <v>113</v>
      </c>
      <c r="G20" s="7" t="s">
        <v>112</v>
      </c>
      <c r="H20" s="7" t="s">
        <v>112</v>
      </c>
      <c r="I20" s="7" t="s">
        <v>112</v>
      </c>
      <c r="J20" s="7" t="s">
        <v>112</v>
      </c>
      <c r="K20" s="7" t="s">
        <v>112</v>
      </c>
      <c r="L20" s="7" t="s">
        <v>112</v>
      </c>
      <c r="M20" s="7" t="s">
        <v>112</v>
      </c>
      <c r="N20" s="7" t="s">
        <v>112</v>
      </c>
      <c r="O20" s="7" t="s">
        <v>112</v>
      </c>
      <c r="P20" s="7" t="s">
        <v>112</v>
      </c>
      <c r="Q20" s="7" t="s">
        <v>112</v>
      </c>
      <c r="R20" s="7" t="s">
        <v>112</v>
      </c>
      <c r="S20" s="7" t="s">
        <v>112</v>
      </c>
      <c r="T20" s="7" t="s">
        <v>112</v>
      </c>
      <c r="U20" s="7" t="s">
        <v>112</v>
      </c>
      <c r="V20" s="7" t="s">
        <v>112</v>
      </c>
      <c r="W20" s="7" t="s">
        <v>112</v>
      </c>
      <c r="X20" s="7" t="s">
        <v>112</v>
      </c>
      <c r="Y20" s="7" t="s">
        <v>112</v>
      </c>
      <c r="Z20" s="7" t="s">
        <v>112</v>
      </c>
      <c r="AA20" s="7" t="s">
        <v>112</v>
      </c>
      <c r="AB20" s="7" t="s">
        <v>112</v>
      </c>
      <c r="AC20" s="7" t="s">
        <v>112</v>
      </c>
      <c r="AD20" s="7" t="s">
        <v>112</v>
      </c>
      <c r="AE20" s="7" t="s">
        <v>112</v>
      </c>
      <c r="AF20" s="7" t="s">
        <v>112</v>
      </c>
      <c r="AG20" s="7" t="s">
        <v>112</v>
      </c>
      <c r="AH20" s="7" t="s">
        <v>112</v>
      </c>
      <c r="AI20" s="7" t="s">
        <v>112</v>
      </c>
      <c r="AJ20" s="7" t="s">
        <v>112</v>
      </c>
      <c r="AK20" s="7" t="s">
        <v>112</v>
      </c>
      <c r="AL20" s="7" t="s">
        <v>112</v>
      </c>
      <c r="AM20" s="7" t="s">
        <v>112</v>
      </c>
      <c r="AN20" s="7" t="s">
        <v>112</v>
      </c>
      <c r="AO20" s="7" t="s">
        <v>112</v>
      </c>
      <c r="AP20" s="7" t="s">
        <v>112</v>
      </c>
      <c r="AQ20" s="7" t="s">
        <v>112</v>
      </c>
      <c r="AR20" s="7" t="s">
        <v>112</v>
      </c>
      <c r="AS20" s="7" t="s">
        <v>112</v>
      </c>
      <c r="AT20" s="7" t="s">
        <v>112</v>
      </c>
      <c r="AU20" s="7" t="s">
        <v>112</v>
      </c>
      <c r="AV20" s="7" t="s">
        <v>112</v>
      </c>
      <c r="AW20" s="7" t="s">
        <v>112</v>
      </c>
      <c r="AX20" s="7" t="s">
        <v>112</v>
      </c>
      <c r="AY20" s="8" t="s">
        <v>113</v>
      </c>
      <c r="AZ20" s="7" t="s">
        <v>112</v>
      </c>
    </row>
    <row r="21">
      <c r="A21" s="7" t="s">
        <v>114</v>
      </c>
      <c r="B21" s="14">
        <f>min(B18:AZ18)</f>
        <v>3.1875</v>
      </c>
      <c r="F21" s="13"/>
      <c r="AY21" s="13"/>
    </row>
    <row r="22">
      <c r="A22" s="7" t="s">
        <v>115</v>
      </c>
      <c r="B22" s="14">
        <f>max(B18:AZ18)</f>
        <v>4.3125</v>
      </c>
      <c r="F22" s="13"/>
      <c r="AY22" s="13"/>
    </row>
    <row r="23">
      <c r="A23" s="7" t="s">
        <v>116</v>
      </c>
      <c r="B23" s="14">
        <f>average(B18:AZ18)</f>
        <v>3.916666667</v>
      </c>
      <c r="F23" s="13"/>
      <c r="AY23" s="13"/>
    </row>
    <row r="24">
      <c r="F24" s="13"/>
      <c r="AY24" s="13"/>
    </row>
    <row r="25">
      <c r="F25" s="13"/>
      <c r="AY25" s="13"/>
    </row>
    <row r="26">
      <c r="F26" s="13"/>
      <c r="AY26" s="13"/>
    </row>
    <row r="27">
      <c r="F27" s="13"/>
      <c r="AY27" s="13"/>
    </row>
    <row r="28">
      <c r="F28" s="13"/>
      <c r="AY28" s="13"/>
    </row>
    <row r="29">
      <c r="F29" s="13"/>
      <c r="AY29" s="13"/>
    </row>
    <row r="30">
      <c r="F30" s="13"/>
      <c r="AY30" s="13"/>
    </row>
    <row r="31">
      <c r="F31" s="13"/>
      <c r="AY31" s="13"/>
    </row>
    <row r="32">
      <c r="F32" s="13"/>
      <c r="AY32" s="13"/>
    </row>
    <row r="33">
      <c r="F33" s="13"/>
      <c r="AY33" s="13"/>
    </row>
    <row r="34">
      <c r="F34" s="13"/>
      <c r="AY34" s="13"/>
    </row>
    <row r="35">
      <c r="F35" s="13"/>
      <c r="AY35" s="13"/>
    </row>
    <row r="36">
      <c r="F36" s="13"/>
      <c r="AY36" s="13"/>
    </row>
    <row r="37">
      <c r="F37" s="13"/>
      <c r="AY37" s="13"/>
    </row>
    <row r="38">
      <c r="F38" s="13"/>
      <c r="AY38" s="13"/>
    </row>
    <row r="39">
      <c r="F39" s="13"/>
      <c r="AY39" s="13"/>
    </row>
    <row r="40">
      <c r="F40" s="13"/>
      <c r="AY40" s="13"/>
    </row>
    <row r="41">
      <c r="F41" s="13"/>
      <c r="AY41" s="13"/>
    </row>
    <row r="42">
      <c r="F42" s="13"/>
      <c r="AY42" s="13"/>
    </row>
    <row r="43">
      <c r="F43" s="13"/>
      <c r="AY43" s="13"/>
    </row>
    <row r="44">
      <c r="F44" s="13"/>
      <c r="AY44" s="13"/>
    </row>
    <row r="45">
      <c r="F45" s="13"/>
      <c r="AY45" s="13"/>
    </row>
    <row r="46">
      <c r="F46" s="13"/>
      <c r="AY46" s="13"/>
    </row>
    <row r="47">
      <c r="F47" s="13"/>
      <c r="AY47" s="13"/>
    </row>
    <row r="48">
      <c r="F48" s="13"/>
      <c r="AY48" s="13"/>
    </row>
    <row r="49">
      <c r="F49" s="13"/>
      <c r="AY49" s="13"/>
    </row>
    <row r="50">
      <c r="F50" s="13"/>
      <c r="AY50" s="13"/>
    </row>
    <row r="51">
      <c r="F51" s="13"/>
      <c r="AY51" s="13"/>
    </row>
    <row r="52">
      <c r="F52" s="13"/>
      <c r="AY52" s="13"/>
    </row>
    <row r="53">
      <c r="F53" s="13"/>
      <c r="AY53" s="13"/>
    </row>
    <row r="54">
      <c r="F54" s="13"/>
      <c r="AY54" s="13"/>
    </row>
    <row r="55">
      <c r="F55" s="13"/>
      <c r="AY55" s="13"/>
    </row>
    <row r="56">
      <c r="F56" s="13"/>
      <c r="AY56" s="13"/>
    </row>
    <row r="57">
      <c r="F57" s="13"/>
      <c r="AY57" s="13"/>
    </row>
    <row r="58">
      <c r="F58" s="13"/>
      <c r="AY58" s="13"/>
    </row>
    <row r="59">
      <c r="F59" s="13"/>
      <c r="AY59" s="13"/>
    </row>
    <row r="60">
      <c r="F60" s="13"/>
      <c r="AY60" s="13"/>
    </row>
    <row r="61">
      <c r="F61" s="13"/>
      <c r="AY61" s="13"/>
    </row>
    <row r="62">
      <c r="F62" s="13"/>
      <c r="AY62" s="13"/>
    </row>
    <row r="63">
      <c r="F63" s="13"/>
      <c r="AY63" s="13"/>
    </row>
    <row r="64">
      <c r="F64" s="13"/>
      <c r="AY64" s="13"/>
    </row>
    <row r="65">
      <c r="F65" s="13"/>
      <c r="AY65" s="13"/>
    </row>
    <row r="66">
      <c r="F66" s="13"/>
      <c r="AY66" s="13"/>
    </row>
    <row r="67">
      <c r="F67" s="13"/>
      <c r="AY67" s="13"/>
    </row>
    <row r="68">
      <c r="F68" s="13"/>
      <c r="AY68" s="13"/>
    </row>
    <row r="69">
      <c r="F69" s="13"/>
      <c r="AY69" s="13"/>
    </row>
    <row r="70">
      <c r="F70" s="13"/>
      <c r="AY70" s="13"/>
    </row>
    <row r="71">
      <c r="F71" s="13"/>
      <c r="AY71" s="13"/>
    </row>
    <row r="72">
      <c r="F72" s="13"/>
      <c r="AY72" s="13"/>
    </row>
    <row r="73">
      <c r="F73" s="13"/>
      <c r="AY73" s="13"/>
    </row>
    <row r="74">
      <c r="F74" s="13"/>
      <c r="AY74" s="13"/>
    </row>
    <row r="75">
      <c r="F75" s="13"/>
      <c r="AY75" s="13"/>
    </row>
    <row r="76">
      <c r="F76" s="13"/>
      <c r="AY76" s="13"/>
    </row>
    <row r="77">
      <c r="F77" s="13"/>
      <c r="AY77" s="13"/>
    </row>
    <row r="78">
      <c r="F78" s="13"/>
      <c r="AY78" s="13"/>
    </row>
    <row r="79">
      <c r="F79" s="13"/>
      <c r="AY79" s="13"/>
    </row>
    <row r="80">
      <c r="F80" s="13"/>
      <c r="AY80" s="13"/>
    </row>
    <row r="81">
      <c r="F81" s="13"/>
      <c r="AY81" s="13"/>
    </row>
    <row r="82">
      <c r="F82" s="13"/>
      <c r="AY82" s="13"/>
    </row>
    <row r="83">
      <c r="F83" s="13"/>
      <c r="AY83" s="13"/>
    </row>
    <row r="84">
      <c r="F84" s="13"/>
      <c r="AY84" s="13"/>
    </row>
    <row r="85">
      <c r="F85" s="13"/>
      <c r="AY85" s="13"/>
    </row>
    <row r="86">
      <c r="F86" s="13"/>
      <c r="AY86" s="13"/>
    </row>
    <row r="87">
      <c r="F87" s="13"/>
      <c r="AY87" s="13"/>
    </row>
    <row r="88">
      <c r="F88" s="13"/>
      <c r="AY88" s="13"/>
    </row>
    <row r="89">
      <c r="F89" s="13"/>
      <c r="AY89" s="13"/>
    </row>
    <row r="90">
      <c r="F90" s="13"/>
      <c r="AY90" s="13"/>
    </row>
    <row r="91">
      <c r="F91" s="13"/>
      <c r="AY91" s="13"/>
    </row>
    <row r="92">
      <c r="F92" s="13"/>
      <c r="AY92" s="13"/>
    </row>
    <row r="93">
      <c r="F93" s="13"/>
      <c r="AY93" s="13"/>
    </row>
    <row r="94">
      <c r="F94" s="13"/>
      <c r="AY94" s="13"/>
    </row>
    <row r="95">
      <c r="F95" s="13"/>
      <c r="AY95" s="13"/>
    </row>
    <row r="96">
      <c r="F96" s="13"/>
      <c r="AY96" s="13"/>
    </row>
    <row r="97">
      <c r="F97" s="13"/>
      <c r="AY97" s="13"/>
    </row>
    <row r="98">
      <c r="F98" s="13"/>
      <c r="AY98" s="13"/>
    </row>
    <row r="99">
      <c r="F99" s="13"/>
      <c r="AY99" s="13"/>
    </row>
    <row r="100">
      <c r="F100" s="13"/>
      <c r="AY100" s="13"/>
    </row>
    <row r="101">
      <c r="F101" s="13"/>
      <c r="AY101" s="13"/>
    </row>
    <row r="102">
      <c r="F102" s="13"/>
      <c r="AY102" s="13"/>
    </row>
    <row r="103">
      <c r="F103" s="13"/>
      <c r="AY103" s="13"/>
    </row>
    <row r="104">
      <c r="F104" s="13"/>
      <c r="AY104" s="13"/>
    </row>
    <row r="105">
      <c r="F105" s="13"/>
      <c r="AY105" s="13"/>
    </row>
    <row r="106">
      <c r="F106" s="13"/>
      <c r="AY106" s="13"/>
    </row>
    <row r="107">
      <c r="F107" s="13"/>
      <c r="AY107" s="13"/>
    </row>
    <row r="108">
      <c r="F108" s="13"/>
      <c r="AY108" s="13"/>
    </row>
    <row r="109">
      <c r="F109" s="13"/>
      <c r="AY109" s="13"/>
    </row>
    <row r="110">
      <c r="F110" s="13"/>
      <c r="AY110" s="13"/>
    </row>
    <row r="111">
      <c r="F111" s="13"/>
      <c r="AY111" s="13"/>
    </row>
    <row r="112">
      <c r="F112" s="13"/>
      <c r="AY112" s="13"/>
    </row>
    <row r="113">
      <c r="F113" s="13"/>
      <c r="AY113" s="13"/>
    </row>
    <row r="114">
      <c r="F114" s="13"/>
      <c r="AY114" s="13"/>
    </row>
    <row r="115">
      <c r="F115" s="13"/>
      <c r="AY115" s="13"/>
    </row>
    <row r="116">
      <c r="F116" s="13"/>
      <c r="AY116" s="13"/>
    </row>
    <row r="117">
      <c r="F117" s="13"/>
      <c r="AY117" s="13"/>
    </row>
    <row r="118">
      <c r="F118" s="13"/>
      <c r="AY118" s="13"/>
    </row>
    <row r="119">
      <c r="F119" s="13"/>
      <c r="AY119" s="13"/>
    </row>
    <row r="120">
      <c r="F120" s="13"/>
      <c r="AY120" s="13"/>
    </row>
    <row r="121">
      <c r="F121" s="13"/>
      <c r="AY121" s="13"/>
    </row>
    <row r="122">
      <c r="F122" s="13"/>
      <c r="AY122" s="13"/>
    </row>
    <row r="123">
      <c r="F123" s="13"/>
      <c r="AY123" s="13"/>
    </row>
    <row r="124">
      <c r="F124" s="13"/>
      <c r="AY124" s="13"/>
    </row>
    <row r="125">
      <c r="F125" s="13"/>
      <c r="AY125" s="13"/>
    </row>
    <row r="126">
      <c r="F126" s="13"/>
      <c r="AY126" s="13"/>
    </row>
    <row r="127">
      <c r="F127" s="13"/>
      <c r="AY127" s="13"/>
    </row>
    <row r="128">
      <c r="F128" s="13"/>
      <c r="AY128" s="13"/>
    </row>
    <row r="129">
      <c r="F129" s="13"/>
      <c r="AY129" s="13"/>
    </row>
    <row r="130">
      <c r="F130" s="13"/>
      <c r="AY130" s="13"/>
    </row>
    <row r="131">
      <c r="F131" s="13"/>
      <c r="AY131" s="13"/>
    </row>
    <row r="132">
      <c r="F132" s="13"/>
      <c r="AY132" s="13"/>
    </row>
    <row r="133">
      <c r="F133" s="13"/>
      <c r="AY133" s="13"/>
    </row>
    <row r="134">
      <c r="F134" s="13"/>
      <c r="AY134" s="13"/>
    </row>
    <row r="135">
      <c r="F135" s="13"/>
      <c r="AY135" s="13"/>
    </row>
    <row r="136">
      <c r="F136" s="13"/>
      <c r="AY136" s="13"/>
    </row>
    <row r="137">
      <c r="F137" s="13"/>
      <c r="AY137" s="13"/>
    </row>
    <row r="138">
      <c r="F138" s="13"/>
      <c r="AY138" s="13"/>
    </row>
    <row r="139">
      <c r="F139" s="13"/>
      <c r="AY139" s="13"/>
    </row>
    <row r="140">
      <c r="F140" s="13"/>
      <c r="AY140" s="13"/>
    </row>
    <row r="141">
      <c r="F141" s="13"/>
      <c r="AY141" s="13"/>
    </row>
    <row r="142">
      <c r="F142" s="13"/>
      <c r="AY142" s="13"/>
    </row>
    <row r="143">
      <c r="F143" s="13"/>
      <c r="AY143" s="13"/>
    </row>
    <row r="144">
      <c r="F144" s="13"/>
      <c r="AY144" s="13"/>
    </row>
    <row r="145">
      <c r="F145" s="13"/>
      <c r="AY145" s="13"/>
    </row>
    <row r="146">
      <c r="F146" s="13"/>
      <c r="AY146" s="13"/>
    </row>
    <row r="147">
      <c r="F147" s="13"/>
      <c r="AY147" s="13"/>
    </row>
    <row r="148">
      <c r="F148" s="13"/>
      <c r="AY148" s="13"/>
    </row>
    <row r="149">
      <c r="F149" s="13"/>
      <c r="AY149" s="13"/>
    </row>
    <row r="150">
      <c r="F150" s="13"/>
      <c r="AY150" s="13"/>
    </row>
    <row r="151">
      <c r="F151" s="13"/>
      <c r="AY151" s="13"/>
    </row>
    <row r="152">
      <c r="F152" s="13"/>
      <c r="AY152" s="13"/>
    </row>
    <row r="153">
      <c r="F153" s="13"/>
      <c r="AY153" s="13"/>
    </row>
    <row r="154">
      <c r="F154" s="13"/>
      <c r="AY154" s="13"/>
    </row>
    <row r="155">
      <c r="F155" s="13"/>
      <c r="AY155" s="13"/>
    </row>
    <row r="156">
      <c r="F156" s="13"/>
      <c r="AY156" s="13"/>
    </row>
    <row r="157">
      <c r="F157" s="13"/>
      <c r="AY157" s="13"/>
    </row>
    <row r="158">
      <c r="F158" s="13"/>
      <c r="AY158" s="13"/>
    </row>
    <row r="159">
      <c r="F159" s="13"/>
      <c r="AY159" s="13"/>
    </row>
    <row r="160">
      <c r="F160" s="13"/>
      <c r="AY160" s="13"/>
    </row>
    <row r="161">
      <c r="F161" s="13"/>
      <c r="AY161" s="13"/>
    </row>
    <row r="162">
      <c r="F162" s="13"/>
      <c r="AY162" s="13"/>
    </row>
    <row r="163">
      <c r="F163" s="13"/>
      <c r="AY163" s="13"/>
    </row>
    <row r="164">
      <c r="F164" s="13"/>
      <c r="AY164" s="13"/>
    </row>
    <row r="165">
      <c r="F165" s="13"/>
      <c r="AY165" s="13"/>
    </row>
    <row r="166">
      <c r="F166" s="13"/>
      <c r="AY166" s="13"/>
    </row>
    <row r="167">
      <c r="F167" s="13"/>
      <c r="AY167" s="13"/>
    </row>
    <row r="168">
      <c r="F168" s="13"/>
      <c r="AY168" s="13"/>
    </row>
    <row r="169">
      <c r="F169" s="13"/>
      <c r="AY169" s="13"/>
    </row>
    <row r="170">
      <c r="F170" s="13"/>
      <c r="AY170" s="13"/>
    </row>
    <row r="171">
      <c r="F171" s="13"/>
      <c r="AY171" s="13"/>
    </row>
    <row r="172">
      <c r="F172" s="13"/>
      <c r="AY172" s="13"/>
    </row>
    <row r="173">
      <c r="F173" s="13"/>
      <c r="AY173" s="13"/>
    </row>
    <row r="174">
      <c r="F174" s="13"/>
      <c r="AY174" s="13"/>
    </row>
    <row r="175">
      <c r="F175" s="13"/>
      <c r="AY175" s="13"/>
    </row>
    <row r="176">
      <c r="F176" s="13"/>
      <c r="AY176" s="13"/>
    </row>
    <row r="177">
      <c r="F177" s="13"/>
      <c r="AY177" s="13"/>
    </row>
    <row r="178">
      <c r="F178" s="13"/>
      <c r="AY178" s="13"/>
    </row>
    <row r="179">
      <c r="F179" s="13"/>
      <c r="AY179" s="13"/>
    </row>
    <row r="180">
      <c r="F180" s="13"/>
      <c r="AY180" s="13"/>
    </row>
    <row r="181">
      <c r="F181" s="13"/>
      <c r="AY181" s="13"/>
    </row>
    <row r="182">
      <c r="F182" s="13"/>
      <c r="AY182" s="13"/>
    </row>
    <row r="183">
      <c r="F183" s="13"/>
      <c r="AY183" s="13"/>
    </row>
    <row r="184">
      <c r="F184" s="13"/>
      <c r="AY184" s="13"/>
    </row>
    <row r="185">
      <c r="F185" s="13"/>
      <c r="AY185" s="13"/>
    </row>
    <row r="186">
      <c r="F186" s="13"/>
      <c r="AY186" s="13"/>
    </row>
    <row r="187">
      <c r="F187" s="13"/>
      <c r="AY187" s="13"/>
    </row>
    <row r="188">
      <c r="F188" s="13"/>
      <c r="AY188" s="13"/>
    </row>
    <row r="189">
      <c r="F189" s="13"/>
      <c r="AY189" s="13"/>
    </row>
    <row r="190">
      <c r="F190" s="13"/>
      <c r="AY190" s="13"/>
    </row>
    <row r="191">
      <c r="F191" s="13"/>
      <c r="AY191" s="13"/>
    </row>
    <row r="192">
      <c r="F192" s="13"/>
      <c r="AY192" s="13"/>
    </row>
    <row r="193">
      <c r="F193" s="13"/>
      <c r="AY193" s="13"/>
    </row>
    <row r="194">
      <c r="F194" s="13"/>
      <c r="AY194" s="13"/>
    </row>
    <row r="195">
      <c r="F195" s="13"/>
      <c r="AY195" s="13"/>
    </row>
    <row r="196">
      <c r="F196" s="13"/>
      <c r="AY196" s="13"/>
    </row>
    <row r="197">
      <c r="F197" s="13"/>
      <c r="AY197" s="13"/>
    </row>
    <row r="198">
      <c r="F198" s="13"/>
      <c r="AY198" s="13"/>
    </row>
    <row r="199">
      <c r="F199" s="13"/>
      <c r="AY199" s="13"/>
    </row>
    <row r="200">
      <c r="F200" s="13"/>
      <c r="AY200" s="13"/>
    </row>
    <row r="201">
      <c r="F201" s="13"/>
      <c r="AY201" s="13"/>
    </row>
    <row r="202">
      <c r="F202" s="13"/>
      <c r="AY202" s="13"/>
    </row>
    <row r="203">
      <c r="F203" s="13"/>
      <c r="AY203" s="13"/>
    </row>
    <row r="204">
      <c r="F204" s="13"/>
      <c r="AY204" s="13"/>
    </row>
    <row r="205">
      <c r="F205" s="13"/>
      <c r="AY205" s="13"/>
    </row>
    <row r="206">
      <c r="F206" s="13"/>
      <c r="AY206" s="13"/>
    </row>
    <row r="207">
      <c r="F207" s="13"/>
      <c r="AY207" s="13"/>
    </row>
    <row r="208">
      <c r="F208" s="13"/>
      <c r="AY208" s="13"/>
    </row>
    <row r="209">
      <c r="F209" s="13"/>
      <c r="AY209" s="13"/>
    </row>
    <row r="210">
      <c r="F210" s="13"/>
      <c r="AY210" s="13"/>
    </row>
    <row r="211">
      <c r="F211" s="13"/>
      <c r="AY211" s="13"/>
    </row>
    <row r="212">
      <c r="F212" s="13"/>
      <c r="AY212" s="13"/>
    </row>
    <row r="213">
      <c r="F213" s="13"/>
      <c r="AY213" s="13"/>
    </row>
    <row r="214">
      <c r="F214" s="13"/>
      <c r="AY214" s="13"/>
    </row>
    <row r="215">
      <c r="F215" s="13"/>
      <c r="AY215" s="13"/>
    </row>
    <row r="216">
      <c r="F216" s="13"/>
      <c r="AY216" s="13"/>
    </row>
    <row r="217">
      <c r="F217" s="13"/>
      <c r="AY217" s="13"/>
    </row>
    <row r="218">
      <c r="F218" s="13"/>
      <c r="AY218" s="13"/>
    </row>
    <row r="219">
      <c r="F219" s="13"/>
      <c r="AY219" s="13"/>
    </row>
    <row r="220">
      <c r="F220" s="13"/>
      <c r="AY220" s="13"/>
    </row>
    <row r="221">
      <c r="F221" s="13"/>
      <c r="AY221" s="13"/>
    </row>
    <row r="222">
      <c r="F222" s="13"/>
      <c r="AY222" s="13"/>
    </row>
    <row r="223">
      <c r="F223" s="13"/>
      <c r="AY223" s="13"/>
    </row>
    <row r="224">
      <c r="F224" s="13"/>
      <c r="AY224" s="13"/>
    </row>
    <row r="225">
      <c r="F225" s="13"/>
      <c r="AY225" s="13"/>
    </row>
    <row r="226">
      <c r="F226" s="13"/>
      <c r="AY226" s="13"/>
    </row>
    <row r="227">
      <c r="F227" s="13"/>
      <c r="AY227" s="13"/>
    </row>
    <row r="228">
      <c r="F228" s="13"/>
      <c r="AY228" s="13"/>
    </row>
    <row r="229">
      <c r="F229" s="13"/>
      <c r="AY229" s="13"/>
    </row>
    <row r="230">
      <c r="F230" s="13"/>
      <c r="AY230" s="13"/>
    </row>
    <row r="231">
      <c r="F231" s="13"/>
      <c r="AY231" s="13"/>
    </row>
    <row r="232">
      <c r="F232" s="13"/>
      <c r="AY232" s="13"/>
    </row>
    <row r="233">
      <c r="F233" s="13"/>
      <c r="AY233" s="13"/>
    </row>
    <row r="234">
      <c r="F234" s="13"/>
      <c r="AY234" s="13"/>
    </row>
    <row r="235">
      <c r="F235" s="13"/>
      <c r="AY235" s="13"/>
    </row>
    <row r="236">
      <c r="F236" s="13"/>
      <c r="AY236" s="13"/>
    </row>
    <row r="237">
      <c r="F237" s="13"/>
      <c r="AY237" s="13"/>
    </row>
    <row r="238">
      <c r="F238" s="13"/>
      <c r="AY238" s="13"/>
    </row>
    <row r="239">
      <c r="F239" s="13"/>
      <c r="AY239" s="13"/>
    </row>
    <row r="240">
      <c r="F240" s="13"/>
      <c r="AY240" s="13"/>
    </row>
    <row r="241">
      <c r="F241" s="13"/>
      <c r="AY241" s="13"/>
    </row>
    <row r="242">
      <c r="F242" s="13"/>
      <c r="AY242" s="13"/>
    </row>
    <row r="243">
      <c r="F243" s="13"/>
      <c r="AY243" s="13"/>
    </row>
    <row r="244">
      <c r="F244" s="13"/>
      <c r="AY244" s="13"/>
    </row>
    <row r="245">
      <c r="F245" s="13"/>
      <c r="AY245" s="13"/>
    </row>
    <row r="246">
      <c r="F246" s="13"/>
      <c r="AY246" s="13"/>
    </row>
    <row r="247">
      <c r="F247" s="13"/>
      <c r="AY247" s="13"/>
    </row>
    <row r="248">
      <c r="F248" s="13"/>
      <c r="AY248" s="13"/>
    </row>
    <row r="249">
      <c r="F249" s="13"/>
      <c r="AY249" s="13"/>
    </row>
    <row r="250">
      <c r="F250" s="13"/>
      <c r="AY250" s="13"/>
    </row>
    <row r="251">
      <c r="F251" s="13"/>
      <c r="AY251" s="13"/>
    </row>
    <row r="252">
      <c r="F252" s="13"/>
      <c r="AY252" s="13"/>
    </row>
    <row r="253">
      <c r="F253" s="13"/>
      <c r="AY253" s="13"/>
    </row>
    <row r="254">
      <c r="F254" s="13"/>
      <c r="AY254" s="13"/>
    </row>
    <row r="255">
      <c r="F255" s="13"/>
      <c r="AY255" s="13"/>
    </row>
    <row r="256">
      <c r="F256" s="13"/>
      <c r="AY256" s="13"/>
    </row>
    <row r="257">
      <c r="F257" s="13"/>
      <c r="AY257" s="13"/>
    </row>
    <row r="258">
      <c r="F258" s="13"/>
      <c r="AY258" s="13"/>
    </row>
    <row r="259">
      <c r="F259" s="13"/>
      <c r="AY259" s="13"/>
    </row>
    <row r="260">
      <c r="F260" s="13"/>
      <c r="AY260" s="13"/>
    </row>
    <row r="261">
      <c r="F261" s="13"/>
      <c r="AY261" s="13"/>
    </row>
    <row r="262">
      <c r="F262" s="13"/>
      <c r="AY262" s="13"/>
    </row>
    <row r="263">
      <c r="F263" s="13"/>
      <c r="AY263" s="13"/>
    </row>
    <row r="264">
      <c r="F264" s="13"/>
      <c r="AY264" s="13"/>
    </row>
    <row r="265">
      <c r="F265" s="13"/>
      <c r="AY265" s="13"/>
    </row>
    <row r="266">
      <c r="F266" s="13"/>
      <c r="AY266" s="13"/>
    </row>
    <row r="267">
      <c r="F267" s="13"/>
      <c r="AY267" s="13"/>
    </row>
    <row r="268">
      <c r="F268" s="13"/>
      <c r="AY268" s="13"/>
    </row>
    <row r="269">
      <c r="F269" s="13"/>
      <c r="AY269" s="13"/>
    </row>
    <row r="270">
      <c r="F270" s="13"/>
      <c r="AY270" s="13"/>
    </row>
    <row r="271">
      <c r="F271" s="13"/>
      <c r="AY271" s="13"/>
    </row>
    <row r="272">
      <c r="F272" s="13"/>
      <c r="AY272" s="13"/>
    </row>
    <row r="273">
      <c r="F273" s="13"/>
      <c r="AY273" s="13"/>
    </row>
    <row r="274">
      <c r="F274" s="13"/>
      <c r="AY274" s="13"/>
    </row>
    <row r="275">
      <c r="F275" s="13"/>
      <c r="AY275" s="13"/>
    </row>
    <row r="276">
      <c r="F276" s="13"/>
      <c r="AY276" s="13"/>
    </row>
    <row r="277">
      <c r="F277" s="13"/>
      <c r="AY277" s="13"/>
    </row>
    <row r="278">
      <c r="F278" s="13"/>
      <c r="AY278" s="13"/>
    </row>
    <row r="279">
      <c r="F279" s="13"/>
      <c r="AY279" s="13"/>
    </row>
    <row r="280">
      <c r="F280" s="13"/>
      <c r="AY280" s="13"/>
    </row>
    <row r="281">
      <c r="F281" s="13"/>
      <c r="AY281" s="13"/>
    </row>
    <row r="282">
      <c r="F282" s="13"/>
      <c r="AY282" s="13"/>
    </row>
    <row r="283">
      <c r="F283" s="13"/>
      <c r="AY283" s="13"/>
    </row>
    <row r="284">
      <c r="F284" s="13"/>
      <c r="AY284" s="13"/>
    </row>
    <row r="285">
      <c r="F285" s="13"/>
      <c r="AY285" s="13"/>
    </row>
    <row r="286">
      <c r="F286" s="13"/>
      <c r="AY286" s="13"/>
    </row>
    <row r="287">
      <c r="F287" s="13"/>
      <c r="AY287" s="13"/>
    </row>
    <row r="288">
      <c r="F288" s="13"/>
      <c r="AY288" s="13"/>
    </row>
    <row r="289">
      <c r="F289" s="13"/>
      <c r="AY289" s="13"/>
    </row>
    <row r="290">
      <c r="F290" s="13"/>
      <c r="AY290" s="13"/>
    </row>
    <row r="291">
      <c r="F291" s="13"/>
      <c r="AY291" s="13"/>
    </row>
    <row r="292">
      <c r="F292" s="13"/>
      <c r="AY292" s="13"/>
    </row>
    <row r="293">
      <c r="F293" s="13"/>
      <c r="AY293" s="13"/>
    </row>
    <row r="294">
      <c r="F294" s="13"/>
      <c r="AY294" s="13"/>
    </row>
    <row r="295">
      <c r="F295" s="13"/>
      <c r="AY295" s="13"/>
    </row>
    <row r="296">
      <c r="F296" s="13"/>
      <c r="AY296" s="13"/>
    </row>
    <row r="297">
      <c r="F297" s="13"/>
      <c r="AY297" s="13"/>
    </row>
    <row r="298">
      <c r="F298" s="13"/>
      <c r="AY298" s="13"/>
    </row>
    <row r="299">
      <c r="F299" s="13"/>
      <c r="AY299" s="13"/>
    </row>
    <row r="300">
      <c r="F300" s="13"/>
      <c r="AY300" s="13"/>
    </row>
    <row r="301">
      <c r="F301" s="13"/>
      <c r="AY301" s="13"/>
    </row>
    <row r="302">
      <c r="F302" s="13"/>
      <c r="AY302" s="13"/>
    </row>
    <row r="303">
      <c r="F303" s="13"/>
      <c r="AY303" s="13"/>
    </row>
    <row r="304">
      <c r="F304" s="13"/>
      <c r="AY304" s="13"/>
    </row>
    <row r="305">
      <c r="F305" s="13"/>
      <c r="AY305" s="13"/>
    </row>
    <row r="306">
      <c r="F306" s="13"/>
      <c r="AY306" s="13"/>
    </row>
    <row r="307">
      <c r="F307" s="13"/>
      <c r="AY307" s="13"/>
    </row>
    <row r="308">
      <c r="F308" s="13"/>
      <c r="AY308" s="13"/>
    </row>
    <row r="309">
      <c r="F309" s="13"/>
      <c r="AY309" s="13"/>
    </row>
    <row r="310">
      <c r="F310" s="13"/>
      <c r="AY310" s="13"/>
    </row>
    <row r="311">
      <c r="F311" s="13"/>
      <c r="AY311" s="13"/>
    </row>
    <row r="312">
      <c r="F312" s="13"/>
      <c r="AY312" s="13"/>
    </row>
    <row r="313">
      <c r="F313" s="13"/>
      <c r="AY313" s="13"/>
    </row>
    <row r="314">
      <c r="F314" s="13"/>
      <c r="AY314" s="13"/>
    </row>
    <row r="315">
      <c r="F315" s="13"/>
      <c r="AY315" s="13"/>
    </row>
    <row r="316">
      <c r="F316" s="13"/>
      <c r="AY316" s="13"/>
    </row>
    <row r="317">
      <c r="F317" s="13"/>
      <c r="AY317" s="13"/>
    </row>
    <row r="318">
      <c r="F318" s="13"/>
      <c r="AY318" s="13"/>
    </row>
    <row r="319">
      <c r="F319" s="13"/>
      <c r="AY319" s="13"/>
    </row>
    <row r="320">
      <c r="F320" s="13"/>
      <c r="AY320" s="13"/>
    </row>
    <row r="321">
      <c r="F321" s="13"/>
      <c r="AY321" s="13"/>
    </row>
    <row r="322">
      <c r="F322" s="13"/>
      <c r="AY322" s="13"/>
    </row>
    <row r="323">
      <c r="F323" s="13"/>
      <c r="AY323" s="13"/>
    </row>
    <row r="324">
      <c r="F324" s="13"/>
      <c r="AY324" s="13"/>
    </row>
    <row r="325">
      <c r="F325" s="13"/>
      <c r="AY325" s="13"/>
    </row>
    <row r="326">
      <c r="F326" s="13"/>
      <c r="AY326" s="13"/>
    </row>
    <row r="327">
      <c r="F327" s="13"/>
      <c r="AY327" s="13"/>
    </row>
    <row r="328">
      <c r="F328" s="13"/>
      <c r="AY328" s="13"/>
    </row>
    <row r="329">
      <c r="F329" s="13"/>
      <c r="AY329" s="13"/>
    </row>
    <row r="330">
      <c r="F330" s="13"/>
      <c r="AY330" s="13"/>
    </row>
    <row r="331">
      <c r="F331" s="13"/>
      <c r="AY331" s="13"/>
    </row>
    <row r="332">
      <c r="F332" s="13"/>
      <c r="AY332" s="13"/>
    </row>
    <row r="333">
      <c r="F333" s="13"/>
      <c r="AY333" s="13"/>
    </row>
    <row r="334">
      <c r="F334" s="13"/>
      <c r="AY334" s="13"/>
    </row>
    <row r="335">
      <c r="F335" s="13"/>
      <c r="AY335" s="13"/>
    </row>
    <row r="336">
      <c r="F336" s="13"/>
      <c r="AY336" s="13"/>
    </row>
    <row r="337">
      <c r="F337" s="13"/>
      <c r="AY337" s="13"/>
    </row>
    <row r="338">
      <c r="F338" s="13"/>
      <c r="AY338" s="13"/>
    </row>
    <row r="339">
      <c r="F339" s="13"/>
      <c r="AY339" s="13"/>
    </row>
    <row r="340">
      <c r="F340" s="13"/>
      <c r="AY340" s="13"/>
    </row>
    <row r="341">
      <c r="F341" s="13"/>
      <c r="AY341" s="13"/>
    </row>
    <row r="342">
      <c r="F342" s="13"/>
      <c r="AY342" s="13"/>
    </row>
    <row r="343">
      <c r="F343" s="13"/>
      <c r="AY343" s="13"/>
    </row>
    <row r="344">
      <c r="F344" s="13"/>
      <c r="AY344" s="13"/>
    </row>
    <row r="345">
      <c r="F345" s="13"/>
      <c r="AY345" s="13"/>
    </row>
    <row r="346">
      <c r="F346" s="13"/>
      <c r="AY346" s="13"/>
    </row>
    <row r="347">
      <c r="F347" s="13"/>
      <c r="AY347" s="13"/>
    </row>
    <row r="348">
      <c r="F348" s="13"/>
      <c r="AY348" s="13"/>
    </row>
    <row r="349">
      <c r="F349" s="13"/>
      <c r="AY349" s="13"/>
    </row>
    <row r="350">
      <c r="F350" s="13"/>
      <c r="AY350" s="13"/>
    </row>
    <row r="351">
      <c r="F351" s="13"/>
      <c r="AY351" s="13"/>
    </row>
    <row r="352">
      <c r="F352" s="13"/>
      <c r="AY352" s="13"/>
    </row>
    <row r="353">
      <c r="F353" s="13"/>
      <c r="AY353" s="13"/>
    </row>
    <row r="354">
      <c r="F354" s="13"/>
      <c r="AY354" s="13"/>
    </row>
    <row r="355">
      <c r="F355" s="13"/>
      <c r="AY355" s="13"/>
    </row>
    <row r="356">
      <c r="F356" s="13"/>
      <c r="AY356" s="13"/>
    </row>
    <row r="357">
      <c r="F357" s="13"/>
      <c r="AY357" s="13"/>
    </row>
    <row r="358">
      <c r="F358" s="13"/>
      <c r="AY358" s="13"/>
    </row>
    <row r="359">
      <c r="F359" s="13"/>
      <c r="AY359" s="13"/>
    </row>
    <row r="360">
      <c r="F360" s="13"/>
      <c r="AY360" s="13"/>
    </row>
    <row r="361">
      <c r="F361" s="13"/>
      <c r="AY361" s="13"/>
    </row>
    <row r="362">
      <c r="F362" s="13"/>
      <c r="AY362" s="13"/>
    </row>
    <row r="363">
      <c r="F363" s="13"/>
      <c r="AY363" s="13"/>
    </row>
    <row r="364">
      <c r="F364" s="13"/>
      <c r="AY364" s="13"/>
    </row>
    <row r="365">
      <c r="F365" s="13"/>
      <c r="AY365" s="13"/>
    </row>
    <row r="366">
      <c r="F366" s="13"/>
      <c r="AY366" s="13"/>
    </row>
    <row r="367">
      <c r="F367" s="13"/>
      <c r="AY367" s="13"/>
    </row>
    <row r="368">
      <c r="F368" s="13"/>
      <c r="AY368" s="13"/>
    </row>
    <row r="369">
      <c r="F369" s="13"/>
      <c r="AY369" s="13"/>
    </row>
    <row r="370">
      <c r="F370" s="13"/>
      <c r="AY370" s="13"/>
    </row>
    <row r="371">
      <c r="F371" s="13"/>
      <c r="AY371" s="13"/>
    </row>
    <row r="372">
      <c r="F372" s="13"/>
      <c r="AY372" s="13"/>
    </row>
    <row r="373">
      <c r="F373" s="13"/>
      <c r="AY373" s="13"/>
    </row>
    <row r="374">
      <c r="F374" s="13"/>
      <c r="AY374" s="13"/>
    </row>
    <row r="375">
      <c r="F375" s="13"/>
      <c r="AY375" s="13"/>
    </row>
    <row r="376">
      <c r="F376" s="13"/>
      <c r="AY376" s="13"/>
    </row>
    <row r="377">
      <c r="F377" s="13"/>
      <c r="AY377" s="13"/>
    </row>
    <row r="378">
      <c r="F378" s="13"/>
      <c r="AY378" s="13"/>
    </row>
    <row r="379">
      <c r="F379" s="13"/>
      <c r="AY379" s="13"/>
    </row>
    <row r="380">
      <c r="F380" s="13"/>
      <c r="AY380" s="13"/>
    </row>
    <row r="381">
      <c r="F381" s="13"/>
      <c r="AY381" s="13"/>
    </row>
    <row r="382">
      <c r="F382" s="13"/>
      <c r="AY382" s="13"/>
    </row>
    <row r="383">
      <c r="F383" s="13"/>
      <c r="AY383" s="13"/>
    </row>
    <row r="384">
      <c r="F384" s="13"/>
      <c r="AY384" s="13"/>
    </row>
    <row r="385">
      <c r="F385" s="13"/>
      <c r="AY385" s="13"/>
    </row>
    <row r="386">
      <c r="F386" s="13"/>
      <c r="AY386" s="13"/>
    </row>
    <row r="387">
      <c r="F387" s="13"/>
      <c r="AY387" s="13"/>
    </row>
    <row r="388">
      <c r="F388" s="13"/>
      <c r="AY388" s="13"/>
    </row>
    <row r="389">
      <c r="F389" s="13"/>
      <c r="AY389" s="13"/>
    </row>
    <row r="390">
      <c r="F390" s="13"/>
      <c r="AY390" s="13"/>
    </row>
    <row r="391">
      <c r="F391" s="13"/>
      <c r="AY391" s="13"/>
    </row>
    <row r="392">
      <c r="F392" s="13"/>
      <c r="AY392" s="13"/>
    </row>
    <row r="393">
      <c r="F393" s="13"/>
      <c r="AY393" s="13"/>
    </row>
    <row r="394">
      <c r="F394" s="13"/>
      <c r="AY394" s="13"/>
    </row>
    <row r="395">
      <c r="F395" s="13"/>
      <c r="AY395" s="13"/>
    </row>
    <row r="396">
      <c r="F396" s="13"/>
      <c r="AY396" s="13"/>
    </row>
    <row r="397">
      <c r="F397" s="13"/>
      <c r="AY397" s="13"/>
    </row>
    <row r="398">
      <c r="F398" s="13"/>
      <c r="AY398" s="13"/>
    </row>
    <row r="399">
      <c r="F399" s="13"/>
      <c r="AY399" s="13"/>
    </row>
    <row r="400">
      <c r="F400" s="13"/>
      <c r="AY400" s="13"/>
    </row>
    <row r="401">
      <c r="F401" s="13"/>
      <c r="AY401" s="13"/>
    </row>
    <row r="402">
      <c r="F402" s="13"/>
      <c r="AY402" s="13"/>
    </row>
    <row r="403">
      <c r="F403" s="13"/>
      <c r="AY403" s="13"/>
    </row>
    <row r="404">
      <c r="F404" s="13"/>
      <c r="AY404" s="13"/>
    </row>
    <row r="405">
      <c r="F405" s="13"/>
      <c r="AY405" s="13"/>
    </row>
    <row r="406">
      <c r="F406" s="13"/>
      <c r="AY406" s="13"/>
    </row>
    <row r="407">
      <c r="F407" s="13"/>
      <c r="AY407" s="13"/>
    </row>
    <row r="408">
      <c r="F408" s="13"/>
      <c r="AY408" s="13"/>
    </row>
    <row r="409">
      <c r="F409" s="13"/>
      <c r="AY409" s="13"/>
    </row>
    <row r="410">
      <c r="F410" s="13"/>
      <c r="AY410" s="13"/>
    </row>
    <row r="411">
      <c r="F411" s="13"/>
      <c r="AY411" s="13"/>
    </row>
    <row r="412">
      <c r="F412" s="13"/>
      <c r="AY412" s="13"/>
    </row>
    <row r="413">
      <c r="F413" s="13"/>
      <c r="AY413" s="13"/>
    </row>
    <row r="414">
      <c r="F414" s="13"/>
      <c r="AY414" s="13"/>
    </row>
    <row r="415">
      <c r="F415" s="13"/>
      <c r="AY415" s="13"/>
    </row>
    <row r="416">
      <c r="F416" s="13"/>
      <c r="AY416" s="13"/>
    </row>
    <row r="417">
      <c r="F417" s="13"/>
      <c r="AY417" s="13"/>
    </row>
    <row r="418">
      <c r="F418" s="13"/>
      <c r="AY418" s="13"/>
    </row>
    <row r="419">
      <c r="F419" s="13"/>
      <c r="AY419" s="13"/>
    </row>
    <row r="420">
      <c r="F420" s="13"/>
      <c r="AY420" s="13"/>
    </row>
    <row r="421">
      <c r="F421" s="13"/>
      <c r="AY421" s="13"/>
    </row>
    <row r="422">
      <c r="F422" s="13"/>
      <c r="AY422" s="13"/>
    </row>
    <row r="423">
      <c r="F423" s="13"/>
      <c r="AY423" s="13"/>
    </row>
    <row r="424">
      <c r="F424" s="13"/>
      <c r="AY424" s="13"/>
    </row>
    <row r="425">
      <c r="F425" s="13"/>
      <c r="AY425" s="13"/>
    </row>
    <row r="426">
      <c r="F426" s="13"/>
      <c r="AY426" s="13"/>
    </row>
    <row r="427">
      <c r="F427" s="13"/>
      <c r="AY427" s="13"/>
    </row>
    <row r="428">
      <c r="F428" s="13"/>
      <c r="AY428" s="13"/>
    </row>
    <row r="429">
      <c r="F429" s="13"/>
      <c r="AY429" s="13"/>
    </row>
    <row r="430">
      <c r="F430" s="13"/>
      <c r="AY430" s="13"/>
    </row>
    <row r="431">
      <c r="F431" s="13"/>
      <c r="AY431" s="13"/>
    </row>
    <row r="432">
      <c r="F432" s="13"/>
      <c r="AY432" s="13"/>
    </row>
    <row r="433">
      <c r="F433" s="13"/>
      <c r="AY433" s="13"/>
    </row>
    <row r="434">
      <c r="F434" s="13"/>
      <c r="AY434" s="13"/>
    </row>
    <row r="435">
      <c r="F435" s="13"/>
      <c r="AY435" s="13"/>
    </row>
    <row r="436">
      <c r="F436" s="13"/>
      <c r="AY436" s="13"/>
    </row>
    <row r="437">
      <c r="F437" s="13"/>
      <c r="AY437" s="13"/>
    </row>
    <row r="438">
      <c r="F438" s="13"/>
      <c r="AY438" s="13"/>
    </row>
    <row r="439">
      <c r="F439" s="13"/>
      <c r="AY439" s="13"/>
    </row>
    <row r="440">
      <c r="F440" s="13"/>
      <c r="AY440" s="13"/>
    </row>
    <row r="441">
      <c r="F441" s="13"/>
      <c r="AY441" s="13"/>
    </row>
    <row r="442">
      <c r="F442" s="13"/>
      <c r="AY442" s="13"/>
    </row>
    <row r="443">
      <c r="F443" s="13"/>
      <c r="AY443" s="13"/>
    </row>
    <row r="444">
      <c r="F444" s="13"/>
      <c r="AY444" s="13"/>
    </row>
    <row r="445">
      <c r="F445" s="13"/>
      <c r="AY445" s="13"/>
    </row>
    <row r="446">
      <c r="F446" s="13"/>
      <c r="AY446" s="13"/>
    </row>
    <row r="447">
      <c r="F447" s="13"/>
      <c r="AY447" s="13"/>
    </row>
    <row r="448">
      <c r="F448" s="13"/>
      <c r="AY448" s="13"/>
    </row>
    <row r="449">
      <c r="F449" s="13"/>
      <c r="AY449" s="13"/>
    </row>
    <row r="450">
      <c r="F450" s="13"/>
      <c r="AY450" s="13"/>
    </row>
    <row r="451">
      <c r="F451" s="13"/>
      <c r="AY451" s="13"/>
    </row>
    <row r="452">
      <c r="F452" s="13"/>
      <c r="AY452" s="13"/>
    </row>
    <row r="453">
      <c r="F453" s="13"/>
      <c r="AY453" s="13"/>
    </row>
    <row r="454">
      <c r="F454" s="13"/>
      <c r="AY454" s="13"/>
    </row>
    <row r="455">
      <c r="F455" s="13"/>
      <c r="AY455" s="13"/>
    </row>
    <row r="456">
      <c r="F456" s="13"/>
      <c r="AY456" s="13"/>
    </row>
    <row r="457">
      <c r="F457" s="13"/>
      <c r="AY457" s="13"/>
    </row>
    <row r="458">
      <c r="F458" s="13"/>
      <c r="AY458" s="13"/>
    </row>
    <row r="459">
      <c r="F459" s="13"/>
      <c r="AY459" s="13"/>
    </row>
    <row r="460">
      <c r="F460" s="13"/>
      <c r="AY460" s="13"/>
    </row>
    <row r="461">
      <c r="F461" s="13"/>
      <c r="AY461" s="13"/>
    </row>
    <row r="462">
      <c r="F462" s="13"/>
      <c r="AY462" s="13"/>
    </row>
    <row r="463">
      <c r="F463" s="13"/>
      <c r="AY463" s="13"/>
    </row>
    <row r="464">
      <c r="F464" s="13"/>
      <c r="AY464" s="13"/>
    </row>
    <row r="465">
      <c r="F465" s="13"/>
      <c r="AY465" s="13"/>
    </row>
    <row r="466">
      <c r="F466" s="13"/>
      <c r="AY466" s="13"/>
    </row>
    <row r="467">
      <c r="F467" s="13"/>
      <c r="AY467" s="13"/>
    </row>
    <row r="468">
      <c r="F468" s="13"/>
      <c r="AY468" s="13"/>
    </row>
    <row r="469">
      <c r="F469" s="13"/>
      <c r="AY469" s="13"/>
    </row>
    <row r="470">
      <c r="F470" s="13"/>
      <c r="AY470" s="13"/>
    </row>
    <row r="471">
      <c r="F471" s="13"/>
      <c r="AY471" s="13"/>
    </row>
    <row r="472">
      <c r="F472" s="13"/>
      <c r="AY472" s="13"/>
    </row>
    <row r="473">
      <c r="F473" s="13"/>
      <c r="AY473" s="13"/>
    </row>
    <row r="474">
      <c r="F474" s="13"/>
      <c r="AY474" s="13"/>
    </row>
    <row r="475">
      <c r="F475" s="13"/>
      <c r="AY475" s="13"/>
    </row>
    <row r="476">
      <c r="F476" s="13"/>
      <c r="AY476" s="13"/>
    </row>
    <row r="477">
      <c r="F477" s="13"/>
      <c r="AY477" s="13"/>
    </row>
    <row r="478">
      <c r="F478" s="13"/>
      <c r="AY478" s="13"/>
    </row>
    <row r="479">
      <c r="F479" s="13"/>
      <c r="AY479" s="13"/>
    </row>
    <row r="480">
      <c r="F480" s="13"/>
      <c r="AY480" s="13"/>
    </row>
    <row r="481">
      <c r="F481" s="13"/>
      <c r="AY481" s="13"/>
    </row>
    <row r="482">
      <c r="F482" s="13"/>
      <c r="AY482" s="13"/>
    </row>
    <row r="483">
      <c r="F483" s="13"/>
      <c r="AY483" s="13"/>
    </row>
    <row r="484">
      <c r="F484" s="13"/>
      <c r="AY484" s="13"/>
    </row>
    <row r="485">
      <c r="F485" s="13"/>
      <c r="AY485" s="13"/>
    </row>
    <row r="486">
      <c r="F486" s="13"/>
      <c r="AY486" s="13"/>
    </row>
    <row r="487">
      <c r="F487" s="13"/>
      <c r="AY487" s="13"/>
    </row>
    <row r="488">
      <c r="F488" s="13"/>
      <c r="AY488" s="13"/>
    </row>
    <row r="489">
      <c r="F489" s="13"/>
      <c r="AY489" s="13"/>
    </row>
    <row r="490">
      <c r="F490" s="13"/>
      <c r="AY490" s="13"/>
    </row>
    <row r="491">
      <c r="F491" s="13"/>
      <c r="AY491" s="13"/>
    </row>
    <row r="492">
      <c r="F492" s="13"/>
      <c r="AY492" s="13"/>
    </row>
    <row r="493">
      <c r="F493" s="13"/>
      <c r="AY493" s="13"/>
    </row>
    <row r="494">
      <c r="F494" s="13"/>
      <c r="AY494" s="13"/>
    </row>
    <row r="495">
      <c r="F495" s="13"/>
      <c r="AY495" s="13"/>
    </row>
    <row r="496">
      <c r="F496" s="13"/>
      <c r="AY496" s="13"/>
    </row>
    <row r="497">
      <c r="F497" s="13"/>
      <c r="AY497" s="13"/>
    </row>
    <row r="498">
      <c r="F498" s="13"/>
      <c r="AY498" s="13"/>
    </row>
    <row r="499">
      <c r="F499" s="13"/>
      <c r="AY499" s="13"/>
    </row>
    <row r="500">
      <c r="F500" s="13"/>
      <c r="AY500" s="13"/>
    </row>
    <row r="501">
      <c r="F501" s="13"/>
      <c r="AY501" s="13"/>
    </row>
    <row r="502">
      <c r="F502" s="13"/>
      <c r="AY502" s="13"/>
    </row>
    <row r="503">
      <c r="F503" s="13"/>
      <c r="AY503" s="13"/>
    </row>
    <row r="504">
      <c r="F504" s="13"/>
      <c r="AY504" s="13"/>
    </row>
    <row r="505">
      <c r="F505" s="13"/>
      <c r="AY505" s="13"/>
    </row>
    <row r="506">
      <c r="F506" s="13"/>
      <c r="AY506" s="13"/>
    </row>
    <row r="507">
      <c r="F507" s="13"/>
      <c r="AY507" s="13"/>
    </row>
    <row r="508">
      <c r="F508" s="13"/>
      <c r="AY508" s="13"/>
    </row>
    <row r="509">
      <c r="F509" s="13"/>
      <c r="AY509" s="13"/>
    </row>
    <row r="510">
      <c r="F510" s="13"/>
      <c r="AY510" s="13"/>
    </row>
    <row r="511">
      <c r="F511" s="13"/>
      <c r="AY511" s="13"/>
    </row>
    <row r="512">
      <c r="F512" s="13"/>
      <c r="AY512" s="13"/>
    </row>
    <row r="513">
      <c r="F513" s="13"/>
      <c r="AY513" s="13"/>
    </row>
    <row r="514">
      <c r="F514" s="13"/>
      <c r="AY514" s="13"/>
    </row>
    <row r="515">
      <c r="F515" s="13"/>
      <c r="AY515" s="13"/>
    </row>
    <row r="516">
      <c r="F516" s="13"/>
      <c r="AY516" s="13"/>
    </row>
    <row r="517">
      <c r="F517" s="13"/>
      <c r="AY517" s="13"/>
    </row>
    <row r="518">
      <c r="F518" s="13"/>
      <c r="AY518" s="13"/>
    </row>
    <row r="519">
      <c r="F519" s="13"/>
      <c r="AY519" s="13"/>
    </row>
    <row r="520">
      <c r="F520" s="13"/>
      <c r="AY520" s="13"/>
    </row>
    <row r="521">
      <c r="F521" s="13"/>
      <c r="AY521" s="13"/>
    </row>
    <row r="522">
      <c r="F522" s="13"/>
      <c r="AY522" s="13"/>
    </row>
    <row r="523">
      <c r="F523" s="13"/>
      <c r="AY523" s="13"/>
    </row>
    <row r="524">
      <c r="F524" s="13"/>
      <c r="AY524" s="13"/>
    </row>
    <row r="525">
      <c r="F525" s="13"/>
      <c r="AY525" s="13"/>
    </row>
    <row r="526">
      <c r="F526" s="13"/>
      <c r="AY526" s="13"/>
    </row>
    <row r="527">
      <c r="F527" s="13"/>
      <c r="AY527" s="13"/>
    </row>
    <row r="528">
      <c r="F528" s="13"/>
      <c r="AY528" s="13"/>
    </row>
    <row r="529">
      <c r="F529" s="13"/>
      <c r="AY529" s="13"/>
    </row>
    <row r="530">
      <c r="F530" s="13"/>
      <c r="AY530" s="13"/>
    </row>
    <row r="531">
      <c r="F531" s="13"/>
      <c r="AY531" s="13"/>
    </row>
    <row r="532">
      <c r="F532" s="13"/>
      <c r="AY532" s="13"/>
    </row>
    <row r="533">
      <c r="F533" s="13"/>
      <c r="AY533" s="13"/>
    </row>
    <row r="534">
      <c r="F534" s="13"/>
      <c r="AY534" s="13"/>
    </row>
    <row r="535">
      <c r="F535" s="13"/>
      <c r="AY535" s="13"/>
    </row>
    <row r="536">
      <c r="F536" s="13"/>
      <c r="AY536" s="13"/>
    </row>
    <row r="537">
      <c r="F537" s="13"/>
      <c r="AY537" s="13"/>
    </row>
    <row r="538">
      <c r="F538" s="13"/>
      <c r="AY538" s="13"/>
    </row>
    <row r="539">
      <c r="F539" s="13"/>
      <c r="AY539" s="13"/>
    </row>
    <row r="540">
      <c r="F540" s="13"/>
      <c r="AY540" s="13"/>
    </row>
    <row r="541">
      <c r="F541" s="13"/>
      <c r="AY541" s="13"/>
    </row>
    <row r="542">
      <c r="F542" s="13"/>
      <c r="AY542" s="13"/>
    </row>
    <row r="543">
      <c r="F543" s="13"/>
      <c r="AY543" s="13"/>
    </row>
    <row r="544">
      <c r="F544" s="13"/>
      <c r="AY544" s="13"/>
    </row>
    <row r="545">
      <c r="F545" s="13"/>
      <c r="AY545" s="13"/>
    </row>
    <row r="546">
      <c r="F546" s="13"/>
      <c r="AY546" s="13"/>
    </row>
    <row r="547">
      <c r="F547" s="13"/>
      <c r="AY547" s="13"/>
    </row>
    <row r="548">
      <c r="F548" s="13"/>
      <c r="AY548" s="13"/>
    </row>
    <row r="549">
      <c r="F549" s="13"/>
      <c r="AY549" s="13"/>
    </row>
    <row r="550">
      <c r="F550" s="13"/>
      <c r="AY550" s="13"/>
    </row>
    <row r="551">
      <c r="F551" s="13"/>
      <c r="AY551" s="13"/>
    </row>
    <row r="552">
      <c r="F552" s="13"/>
      <c r="AY552" s="13"/>
    </row>
    <row r="553">
      <c r="F553" s="13"/>
      <c r="AY553" s="13"/>
    </row>
    <row r="554">
      <c r="F554" s="13"/>
      <c r="AY554" s="13"/>
    </row>
    <row r="555">
      <c r="F555" s="13"/>
      <c r="AY555" s="13"/>
    </row>
    <row r="556">
      <c r="F556" s="13"/>
      <c r="AY556" s="13"/>
    </row>
    <row r="557">
      <c r="F557" s="13"/>
      <c r="AY557" s="13"/>
    </row>
    <row r="558">
      <c r="F558" s="13"/>
      <c r="AY558" s="13"/>
    </row>
    <row r="559">
      <c r="F559" s="13"/>
      <c r="AY559" s="13"/>
    </row>
    <row r="560">
      <c r="F560" s="13"/>
      <c r="AY560" s="13"/>
    </row>
    <row r="561">
      <c r="F561" s="13"/>
      <c r="AY561" s="13"/>
    </row>
    <row r="562">
      <c r="F562" s="13"/>
      <c r="AY562" s="13"/>
    </row>
    <row r="563">
      <c r="F563" s="13"/>
      <c r="AY563" s="13"/>
    </row>
    <row r="564">
      <c r="F564" s="13"/>
      <c r="AY564" s="13"/>
    </row>
    <row r="565">
      <c r="F565" s="13"/>
      <c r="AY565" s="13"/>
    </row>
    <row r="566">
      <c r="F566" s="13"/>
      <c r="AY566" s="13"/>
    </row>
    <row r="567">
      <c r="F567" s="13"/>
      <c r="AY567" s="13"/>
    </row>
    <row r="568">
      <c r="F568" s="13"/>
      <c r="AY568" s="13"/>
    </row>
    <row r="569">
      <c r="F569" s="13"/>
      <c r="AY569" s="13"/>
    </row>
    <row r="570">
      <c r="F570" s="13"/>
      <c r="AY570" s="13"/>
    </row>
    <row r="571">
      <c r="F571" s="13"/>
      <c r="AY571" s="13"/>
    </row>
    <row r="572">
      <c r="F572" s="13"/>
      <c r="AY572" s="13"/>
    </row>
    <row r="573">
      <c r="F573" s="13"/>
      <c r="AY573" s="13"/>
    </row>
    <row r="574">
      <c r="F574" s="13"/>
      <c r="AY574" s="13"/>
    </row>
    <row r="575">
      <c r="F575" s="13"/>
      <c r="AY575" s="13"/>
    </row>
    <row r="576">
      <c r="F576" s="13"/>
      <c r="AY576" s="13"/>
    </row>
    <row r="577">
      <c r="F577" s="13"/>
      <c r="AY577" s="13"/>
    </row>
    <row r="578">
      <c r="F578" s="13"/>
      <c r="AY578" s="13"/>
    </row>
    <row r="579">
      <c r="F579" s="13"/>
      <c r="AY579" s="13"/>
    </row>
    <row r="580">
      <c r="F580" s="13"/>
      <c r="AY580" s="13"/>
    </row>
    <row r="581">
      <c r="F581" s="13"/>
      <c r="AY581" s="13"/>
    </row>
    <row r="582">
      <c r="F582" s="13"/>
      <c r="AY582" s="13"/>
    </row>
    <row r="583">
      <c r="F583" s="13"/>
      <c r="AY583" s="13"/>
    </row>
    <row r="584">
      <c r="F584" s="13"/>
      <c r="AY584" s="13"/>
    </row>
    <row r="585">
      <c r="F585" s="13"/>
      <c r="AY585" s="13"/>
    </row>
    <row r="586">
      <c r="F586" s="13"/>
      <c r="AY586" s="13"/>
    </row>
    <row r="587">
      <c r="F587" s="13"/>
      <c r="AY587" s="13"/>
    </row>
    <row r="588">
      <c r="F588" s="13"/>
      <c r="AY588" s="13"/>
    </row>
    <row r="589">
      <c r="F589" s="13"/>
      <c r="AY589" s="13"/>
    </row>
    <row r="590">
      <c r="F590" s="13"/>
      <c r="AY590" s="13"/>
    </row>
    <row r="591">
      <c r="F591" s="13"/>
      <c r="AY591" s="13"/>
    </row>
    <row r="592">
      <c r="F592" s="13"/>
      <c r="AY592" s="13"/>
    </row>
    <row r="593">
      <c r="F593" s="13"/>
      <c r="AY593" s="13"/>
    </row>
    <row r="594">
      <c r="F594" s="13"/>
      <c r="AY594" s="13"/>
    </row>
    <row r="595">
      <c r="F595" s="13"/>
      <c r="AY595" s="13"/>
    </row>
    <row r="596">
      <c r="F596" s="13"/>
      <c r="AY596" s="13"/>
    </row>
    <row r="597">
      <c r="F597" s="13"/>
      <c r="AY597" s="13"/>
    </row>
    <row r="598">
      <c r="F598" s="13"/>
      <c r="AY598" s="13"/>
    </row>
    <row r="599">
      <c r="F599" s="13"/>
      <c r="AY599" s="13"/>
    </row>
    <row r="600">
      <c r="F600" s="13"/>
      <c r="AY600" s="13"/>
    </row>
    <row r="601">
      <c r="F601" s="13"/>
      <c r="AY601" s="13"/>
    </row>
    <row r="602">
      <c r="F602" s="13"/>
      <c r="AY602" s="13"/>
    </row>
    <row r="603">
      <c r="F603" s="13"/>
      <c r="AY603" s="13"/>
    </row>
    <row r="604">
      <c r="F604" s="13"/>
      <c r="AY604" s="13"/>
    </row>
    <row r="605">
      <c r="F605" s="13"/>
      <c r="AY605" s="13"/>
    </row>
    <row r="606">
      <c r="F606" s="13"/>
      <c r="AY606" s="13"/>
    </row>
    <row r="607">
      <c r="F607" s="13"/>
      <c r="AY607" s="13"/>
    </row>
    <row r="608">
      <c r="F608" s="13"/>
      <c r="AY608" s="13"/>
    </row>
    <row r="609">
      <c r="F609" s="13"/>
      <c r="AY609" s="13"/>
    </row>
    <row r="610">
      <c r="F610" s="13"/>
      <c r="AY610" s="13"/>
    </row>
    <row r="611">
      <c r="F611" s="13"/>
      <c r="AY611" s="13"/>
    </row>
    <row r="612">
      <c r="F612" s="13"/>
      <c r="AY612" s="13"/>
    </row>
    <row r="613">
      <c r="F613" s="13"/>
      <c r="AY613" s="13"/>
    </row>
    <row r="614">
      <c r="F614" s="13"/>
      <c r="AY614" s="13"/>
    </row>
    <row r="615">
      <c r="F615" s="13"/>
      <c r="AY615" s="13"/>
    </row>
    <row r="616">
      <c r="F616" s="13"/>
      <c r="AY616" s="13"/>
    </row>
    <row r="617">
      <c r="F617" s="13"/>
      <c r="AY617" s="13"/>
    </row>
    <row r="618">
      <c r="F618" s="13"/>
      <c r="AY618" s="13"/>
    </row>
    <row r="619">
      <c r="F619" s="13"/>
      <c r="AY619" s="13"/>
    </row>
    <row r="620">
      <c r="F620" s="13"/>
      <c r="AY620" s="13"/>
    </row>
    <row r="621">
      <c r="F621" s="13"/>
      <c r="AY621" s="13"/>
    </row>
    <row r="622">
      <c r="F622" s="13"/>
      <c r="AY622" s="13"/>
    </row>
    <row r="623">
      <c r="F623" s="13"/>
      <c r="AY623" s="13"/>
    </row>
    <row r="624">
      <c r="F624" s="13"/>
      <c r="AY624" s="13"/>
    </row>
    <row r="625">
      <c r="F625" s="13"/>
      <c r="AY625" s="13"/>
    </row>
    <row r="626">
      <c r="F626" s="13"/>
      <c r="AY626" s="13"/>
    </row>
    <row r="627">
      <c r="F627" s="13"/>
      <c r="AY627" s="13"/>
    </row>
    <row r="628">
      <c r="F628" s="13"/>
      <c r="AY628" s="13"/>
    </row>
    <row r="629">
      <c r="F629" s="13"/>
      <c r="AY629" s="13"/>
    </row>
    <row r="630">
      <c r="F630" s="13"/>
      <c r="AY630" s="13"/>
    </row>
    <row r="631">
      <c r="F631" s="13"/>
      <c r="AY631" s="13"/>
    </row>
    <row r="632">
      <c r="F632" s="13"/>
      <c r="AY632" s="13"/>
    </row>
    <row r="633">
      <c r="F633" s="13"/>
      <c r="AY633" s="13"/>
    </row>
    <row r="634">
      <c r="F634" s="13"/>
      <c r="AY634" s="13"/>
    </row>
    <row r="635">
      <c r="F635" s="13"/>
      <c r="AY635" s="13"/>
    </row>
    <row r="636">
      <c r="F636" s="13"/>
      <c r="AY636" s="13"/>
    </row>
    <row r="637">
      <c r="F637" s="13"/>
      <c r="AY637" s="13"/>
    </row>
    <row r="638">
      <c r="F638" s="13"/>
      <c r="AY638" s="13"/>
    </row>
    <row r="639">
      <c r="F639" s="13"/>
      <c r="AY639" s="13"/>
    </row>
    <row r="640">
      <c r="F640" s="13"/>
      <c r="AY640" s="13"/>
    </row>
    <row r="641">
      <c r="F641" s="13"/>
      <c r="AY641" s="13"/>
    </row>
    <row r="642">
      <c r="F642" s="13"/>
      <c r="AY642" s="13"/>
    </row>
    <row r="643">
      <c r="F643" s="13"/>
      <c r="AY643" s="13"/>
    </row>
    <row r="644">
      <c r="F644" s="13"/>
      <c r="AY644" s="13"/>
    </row>
    <row r="645">
      <c r="F645" s="13"/>
      <c r="AY645" s="13"/>
    </row>
    <row r="646">
      <c r="F646" s="13"/>
      <c r="AY646" s="13"/>
    </row>
    <row r="647">
      <c r="F647" s="13"/>
      <c r="AY647" s="13"/>
    </row>
    <row r="648">
      <c r="F648" s="13"/>
      <c r="AY648" s="13"/>
    </row>
    <row r="649">
      <c r="F649" s="13"/>
      <c r="AY649" s="13"/>
    </row>
    <row r="650">
      <c r="F650" s="13"/>
      <c r="AY650" s="13"/>
    </row>
    <row r="651">
      <c r="F651" s="13"/>
      <c r="AY651" s="13"/>
    </row>
    <row r="652">
      <c r="F652" s="13"/>
      <c r="AY652" s="13"/>
    </row>
    <row r="653">
      <c r="F653" s="13"/>
      <c r="AY653" s="13"/>
    </row>
    <row r="654">
      <c r="F654" s="13"/>
      <c r="AY654" s="13"/>
    </row>
    <row r="655">
      <c r="F655" s="13"/>
      <c r="AY655" s="13"/>
    </row>
    <row r="656">
      <c r="F656" s="13"/>
      <c r="AY656" s="13"/>
    </row>
    <row r="657">
      <c r="F657" s="13"/>
      <c r="AY657" s="13"/>
    </row>
    <row r="658">
      <c r="F658" s="13"/>
      <c r="AY658" s="13"/>
    </row>
    <row r="659">
      <c r="F659" s="13"/>
      <c r="AY659" s="13"/>
    </row>
    <row r="660">
      <c r="F660" s="13"/>
      <c r="AY660" s="13"/>
    </row>
    <row r="661">
      <c r="F661" s="13"/>
      <c r="AY661" s="13"/>
    </row>
    <row r="662">
      <c r="F662" s="13"/>
      <c r="AY662" s="13"/>
    </row>
    <row r="663">
      <c r="F663" s="13"/>
      <c r="AY663" s="13"/>
    </row>
    <row r="664">
      <c r="F664" s="13"/>
      <c r="AY664" s="13"/>
    </row>
    <row r="665">
      <c r="F665" s="13"/>
      <c r="AY665" s="13"/>
    </row>
    <row r="666">
      <c r="F666" s="13"/>
      <c r="AY666" s="13"/>
    </row>
    <row r="667">
      <c r="F667" s="13"/>
      <c r="AY667" s="13"/>
    </row>
    <row r="668">
      <c r="F668" s="13"/>
      <c r="AY668" s="13"/>
    </row>
    <row r="669">
      <c r="F669" s="13"/>
      <c r="AY669" s="13"/>
    </row>
    <row r="670">
      <c r="F670" s="13"/>
      <c r="AY670" s="13"/>
    </row>
    <row r="671">
      <c r="F671" s="13"/>
      <c r="AY671" s="13"/>
    </row>
    <row r="672">
      <c r="F672" s="13"/>
      <c r="AY672" s="13"/>
    </row>
    <row r="673">
      <c r="F673" s="13"/>
      <c r="AY673" s="13"/>
    </row>
    <row r="674">
      <c r="F674" s="13"/>
      <c r="AY674" s="13"/>
    </row>
    <row r="675">
      <c r="F675" s="13"/>
      <c r="AY675" s="13"/>
    </row>
    <row r="676">
      <c r="F676" s="13"/>
      <c r="AY676" s="13"/>
    </row>
    <row r="677">
      <c r="F677" s="13"/>
      <c r="AY677" s="13"/>
    </row>
    <row r="678">
      <c r="F678" s="13"/>
      <c r="AY678" s="13"/>
    </row>
    <row r="679">
      <c r="F679" s="13"/>
      <c r="AY679" s="13"/>
    </row>
    <row r="680">
      <c r="F680" s="13"/>
      <c r="AY680" s="13"/>
    </row>
    <row r="681">
      <c r="F681" s="13"/>
      <c r="AY681" s="13"/>
    </row>
    <row r="682">
      <c r="F682" s="13"/>
      <c r="AY682" s="13"/>
    </row>
    <row r="683">
      <c r="F683" s="13"/>
      <c r="AY683" s="13"/>
    </row>
    <row r="684">
      <c r="F684" s="13"/>
      <c r="AY684" s="13"/>
    </row>
    <row r="685">
      <c r="F685" s="13"/>
      <c r="AY685" s="13"/>
    </row>
    <row r="686">
      <c r="F686" s="13"/>
      <c r="AY686" s="13"/>
    </row>
    <row r="687">
      <c r="F687" s="13"/>
      <c r="AY687" s="13"/>
    </row>
    <row r="688">
      <c r="F688" s="13"/>
      <c r="AY688" s="13"/>
    </row>
    <row r="689">
      <c r="F689" s="13"/>
      <c r="AY689" s="13"/>
    </row>
    <row r="690">
      <c r="F690" s="13"/>
      <c r="AY690" s="13"/>
    </row>
    <row r="691">
      <c r="F691" s="13"/>
      <c r="AY691" s="13"/>
    </row>
    <row r="692">
      <c r="F692" s="13"/>
      <c r="AY692" s="13"/>
    </row>
    <row r="693">
      <c r="F693" s="13"/>
      <c r="AY693" s="13"/>
    </row>
    <row r="694">
      <c r="F694" s="13"/>
      <c r="AY694" s="13"/>
    </row>
    <row r="695">
      <c r="F695" s="13"/>
      <c r="AY695" s="13"/>
    </row>
    <row r="696">
      <c r="F696" s="13"/>
      <c r="AY696" s="13"/>
    </row>
    <row r="697">
      <c r="F697" s="13"/>
      <c r="AY697" s="13"/>
    </row>
    <row r="698">
      <c r="F698" s="13"/>
      <c r="AY698" s="13"/>
    </row>
    <row r="699">
      <c r="F699" s="13"/>
      <c r="AY699" s="13"/>
    </row>
    <row r="700">
      <c r="F700" s="13"/>
      <c r="AY700" s="13"/>
    </row>
    <row r="701">
      <c r="F701" s="13"/>
      <c r="AY701" s="13"/>
    </row>
    <row r="702">
      <c r="F702" s="13"/>
      <c r="AY702" s="13"/>
    </row>
    <row r="703">
      <c r="F703" s="13"/>
      <c r="AY703" s="13"/>
    </row>
    <row r="704">
      <c r="F704" s="13"/>
      <c r="AY704" s="13"/>
    </row>
    <row r="705">
      <c r="F705" s="13"/>
      <c r="AY705" s="13"/>
    </row>
    <row r="706">
      <c r="F706" s="13"/>
      <c r="AY706" s="13"/>
    </row>
    <row r="707">
      <c r="F707" s="13"/>
      <c r="AY707" s="13"/>
    </row>
    <row r="708">
      <c r="F708" s="13"/>
      <c r="AY708" s="13"/>
    </row>
    <row r="709">
      <c r="F709" s="13"/>
      <c r="AY709" s="13"/>
    </row>
    <row r="710">
      <c r="F710" s="13"/>
      <c r="AY710" s="13"/>
    </row>
    <row r="711">
      <c r="F711" s="13"/>
      <c r="AY711" s="13"/>
    </row>
    <row r="712">
      <c r="F712" s="13"/>
      <c r="AY712" s="13"/>
    </row>
    <row r="713">
      <c r="F713" s="13"/>
      <c r="AY713" s="13"/>
    </row>
    <row r="714">
      <c r="F714" s="13"/>
      <c r="AY714" s="13"/>
    </row>
    <row r="715">
      <c r="F715" s="13"/>
      <c r="AY715" s="13"/>
    </row>
    <row r="716">
      <c r="F716" s="13"/>
      <c r="AY716" s="13"/>
    </row>
    <row r="717">
      <c r="F717" s="13"/>
      <c r="AY717" s="13"/>
    </row>
    <row r="718">
      <c r="F718" s="13"/>
      <c r="AY718" s="13"/>
    </row>
    <row r="719">
      <c r="F719" s="13"/>
      <c r="AY719" s="13"/>
    </row>
    <row r="720">
      <c r="F720" s="13"/>
      <c r="AY720" s="13"/>
    </row>
    <row r="721">
      <c r="F721" s="13"/>
      <c r="AY721" s="13"/>
    </row>
    <row r="722">
      <c r="F722" s="13"/>
      <c r="AY722" s="13"/>
    </row>
    <row r="723">
      <c r="F723" s="13"/>
      <c r="AY723" s="13"/>
    </row>
    <row r="724">
      <c r="F724" s="13"/>
      <c r="AY724" s="13"/>
    </row>
    <row r="725">
      <c r="F725" s="13"/>
      <c r="AY725" s="13"/>
    </row>
    <row r="726">
      <c r="F726" s="13"/>
      <c r="AY726" s="13"/>
    </row>
    <row r="727">
      <c r="F727" s="13"/>
      <c r="AY727" s="13"/>
    </row>
    <row r="728">
      <c r="F728" s="13"/>
      <c r="AY728" s="13"/>
    </row>
    <row r="729">
      <c r="F729" s="13"/>
      <c r="AY729" s="13"/>
    </row>
    <row r="730">
      <c r="F730" s="13"/>
      <c r="AY730" s="13"/>
    </row>
    <row r="731">
      <c r="F731" s="13"/>
      <c r="AY731" s="13"/>
    </row>
    <row r="732">
      <c r="F732" s="13"/>
      <c r="AY732" s="13"/>
    </row>
    <row r="733">
      <c r="F733" s="13"/>
      <c r="AY733" s="13"/>
    </row>
    <row r="734">
      <c r="F734" s="13"/>
      <c r="AY734" s="13"/>
    </row>
    <row r="735">
      <c r="F735" s="13"/>
      <c r="AY735" s="13"/>
    </row>
    <row r="736">
      <c r="F736" s="13"/>
      <c r="AY736" s="13"/>
    </row>
    <row r="737">
      <c r="F737" s="13"/>
      <c r="AY737" s="13"/>
    </row>
    <row r="738">
      <c r="F738" s="13"/>
      <c r="AY738" s="13"/>
    </row>
    <row r="739">
      <c r="F739" s="13"/>
      <c r="AY739" s="13"/>
    </row>
    <row r="740">
      <c r="F740" s="13"/>
      <c r="AY740" s="13"/>
    </row>
    <row r="741">
      <c r="F741" s="13"/>
      <c r="AY741" s="13"/>
    </row>
    <row r="742">
      <c r="F742" s="13"/>
      <c r="AY742" s="13"/>
    </row>
    <row r="743">
      <c r="F743" s="13"/>
      <c r="AY743" s="13"/>
    </row>
    <row r="744">
      <c r="F744" s="13"/>
      <c r="AY744" s="13"/>
    </row>
    <row r="745">
      <c r="F745" s="13"/>
      <c r="AY745" s="13"/>
    </row>
    <row r="746">
      <c r="F746" s="13"/>
      <c r="AY746" s="13"/>
    </row>
    <row r="747">
      <c r="F747" s="13"/>
      <c r="AY747" s="13"/>
    </row>
    <row r="748">
      <c r="F748" s="13"/>
      <c r="AY748" s="13"/>
    </row>
    <row r="749">
      <c r="F749" s="13"/>
      <c r="AY749" s="13"/>
    </row>
    <row r="750">
      <c r="F750" s="13"/>
      <c r="AY750" s="13"/>
    </row>
    <row r="751">
      <c r="F751" s="13"/>
      <c r="AY751" s="13"/>
    </row>
    <row r="752">
      <c r="F752" s="13"/>
      <c r="AY752" s="13"/>
    </row>
    <row r="753">
      <c r="F753" s="13"/>
      <c r="AY753" s="13"/>
    </row>
    <row r="754">
      <c r="F754" s="13"/>
      <c r="AY754" s="13"/>
    </row>
    <row r="755">
      <c r="F755" s="13"/>
      <c r="AY755" s="13"/>
    </row>
    <row r="756">
      <c r="F756" s="13"/>
      <c r="AY756" s="13"/>
    </row>
    <row r="757">
      <c r="F757" s="13"/>
      <c r="AY757" s="13"/>
    </row>
    <row r="758">
      <c r="F758" s="13"/>
      <c r="AY758" s="13"/>
    </row>
    <row r="759">
      <c r="F759" s="13"/>
      <c r="AY759" s="13"/>
    </row>
    <row r="760">
      <c r="F760" s="13"/>
      <c r="AY760" s="13"/>
    </row>
    <row r="761">
      <c r="F761" s="13"/>
      <c r="AY761" s="13"/>
    </row>
    <row r="762">
      <c r="F762" s="13"/>
      <c r="AY762" s="13"/>
    </row>
    <row r="763">
      <c r="F763" s="13"/>
      <c r="AY763" s="13"/>
    </row>
    <row r="764">
      <c r="F764" s="13"/>
      <c r="AY764" s="13"/>
    </row>
    <row r="765">
      <c r="F765" s="13"/>
      <c r="AY765" s="13"/>
    </row>
    <row r="766">
      <c r="F766" s="13"/>
      <c r="AY766" s="13"/>
    </row>
    <row r="767">
      <c r="F767" s="13"/>
      <c r="AY767" s="13"/>
    </row>
    <row r="768">
      <c r="F768" s="13"/>
      <c r="AY768" s="13"/>
    </row>
    <row r="769">
      <c r="F769" s="13"/>
      <c r="AY769" s="13"/>
    </row>
    <row r="770">
      <c r="F770" s="13"/>
      <c r="AY770" s="13"/>
    </row>
    <row r="771">
      <c r="F771" s="13"/>
      <c r="AY771" s="13"/>
    </row>
    <row r="772">
      <c r="F772" s="13"/>
      <c r="AY772" s="13"/>
    </row>
    <row r="773">
      <c r="F773" s="13"/>
      <c r="AY773" s="13"/>
    </row>
    <row r="774">
      <c r="F774" s="13"/>
      <c r="AY774" s="13"/>
    </row>
    <row r="775">
      <c r="F775" s="13"/>
      <c r="AY775" s="13"/>
    </row>
    <row r="776">
      <c r="F776" s="13"/>
      <c r="AY776" s="13"/>
    </row>
    <row r="777">
      <c r="F777" s="13"/>
      <c r="AY777" s="13"/>
    </row>
    <row r="778">
      <c r="F778" s="13"/>
      <c r="AY778" s="13"/>
    </row>
    <row r="779">
      <c r="F779" s="13"/>
      <c r="AY779" s="13"/>
    </row>
    <row r="780">
      <c r="F780" s="13"/>
      <c r="AY780" s="13"/>
    </row>
    <row r="781">
      <c r="F781" s="13"/>
      <c r="AY781" s="13"/>
    </row>
    <row r="782">
      <c r="F782" s="13"/>
      <c r="AY782" s="13"/>
    </row>
    <row r="783">
      <c r="F783" s="13"/>
      <c r="AY783" s="13"/>
    </row>
    <row r="784">
      <c r="F784" s="13"/>
      <c r="AY784" s="13"/>
    </row>
    <row r="785">
      <c r="F785" s="13"/>
      <c r="AY785" s="13"/>
    </row>
    <row r="786">
      <c r="F786" s="13"/>
      <c r="AY786" s="13"/>
    </row>
    <row r="787">
      <c r="F787" s="13"/>
      <c r="AY787" s="13"/>
    </row>
    <row r="788">
      <c r="F788" s="13"/>
      <c r="AY788" s="13"/>
    </row>
    <row r="789">
      <c r="F789" s="13"/>
      <c r="AY789" s="13"/>
    </row>
    <row r="790">
      <c r="F790" s="13"/>
      <c r="AY790" s="13"/>
    </row>
    <row r="791">
      <c r="F791" s="13"/>
      <c r="AY791" s="13"/>
    </row>
    <row r="792">
      <c r="F792" s="13"/>
      <c r="AY792" s="13"/>
    </row>
    <row r="793">
      <c r="F793" s="13"/>
      <c r="AY793" s="13"/>
    </row>
    <row r="794">
      <c r="F794" s="13"/>
      <c r="AY794" s="13"/>
    </row>
    <row r="795">
      <c r="F795" s="13"/>
      <c r="AY795" s="13"/>
    </row>
    <row r="796">
      <c r="F796" s="13"/>
      <c r="AY796" s="13"/>
    </row>
    <row r="797">
      <c r="F797" s="13"/>
      <c r="AY797" s="13"/>
    </row>
    <row r="798">
      <c r="F798" s="13"/>
      <c r="AY798" s="13"/>
    </row>
    <row r="799">
      <c r="F799" s="13"/>
      <c r="AY799" s="13"/>
    </row>
    <row r="800">
      <c r="F800" s="13"/>
      <c r="AY800" s="13"/>
    </row>
    <row r="801">
      <c r="F801" s="13"/>
      <c r="AY801" s="13"/>
    </row>
    <row r="802">
      <c r="F802" s="13"/>
      <c r="AY802" s="13"/>
    </row>
    <row r="803">
      <c r="F803" s="13"/>
      <c r="AY803" s="13"/>
    </row>
    <row r="804">
      <c r="F804" s="13"/>
      <c r="AY804" s="13"/>
    </row>
    <row r="805">
      <c r="F805" s="13"/>
      <c r="AY805" s="13"/>
    </row>
    <row r="806">
      <c r="F806" s="13"/>
      <c r="AY806" s="13"/>
    </row>
    <row r="807">
      <c r="F807" s="13"/>
      <c r="AY807" s="13"/>
    </row>
    <row r="808">
      <c r="F808" s="13"/>
      <c r="AY808" s="13"/>
    </row>
    <row r="809">
      <c r="F809" s="13"/>
      <c r="AY809" s="13"/>
    </row>
    <row r="810">
      <c r="F810" s="13"/>
      <c r="AY810" s="13"/>
    </row>
    <row r="811">
      <c r="F811" s="13"/>
      <c r="AY811" s="13"/>
    </row>
    <row r="812">
      <c r="F812" s="13"/>
      <c r="AY812" s="13"/>
    </row>
    <row r="813">
      <c r="F813" s="13"/>
      <c r="AY813" s="13"/>
    </row>
    <row r="814">
      <c r="F814" s="13"/>
      <c r="AY814" s="13"/>
    </row>
    <row r="815">
      <c r="F815" s="13"/>
      <c r="AY815" s="13"/>
    </row>
    <row r="816">
      <c r="F816" s="13"/>
      <c r="AY816" s="13"/>
    </row>
    <row r="817">
      <c r="F817" s="13"/>
      <c r="AY817" s="13"/>
    </row>
    <row r="818">
      <c r="F818" s="13"/>
      <c r="AY818" s="13"/>
    </row>
    <row r="819">
      <c r="F819" s="13"/>
      <c r="AY819" s="13"/>
    </row>
    <row r="820">
      <c r="F820" s="13"/>
      <c r="AY820" s="13"/>
    </row>
    <row r="821">
      <c r="F821" s="13"/>
      <c r="AY821" s="13"/>
    </row>
    <row r="822">
      <c r="F822" s="13"/>
      <c r="AY822" s="13"/>
    </row>
    <row r="823">
      <c r="F823" s="13"/>
      <c r="AY823" s="13"/>
    </row>
    <row r="824">
      <c r="F824" s="13"/>
      <c r="AY824" s="13"/>
    </row>
    <row r="825">
      <c r="F825" s="13"/>
      <c r="AY825" s="13"/>
    </row>
    <row r="826">
      <c r="F826" s="13"/>
      <c r="AY826" s="13"/>
    </row>
    <row r="827">
      <c r="F827" s="13"/>
      <c r="AY827" s="13"/>
    </row>
    <row r="828">
      <c r="F828" s="13"/>
      <c r="AY828" s="13"/>
    </row>
    <row r="829">
      <c r="F829" s="13"/>
      <c r="AY829" s="13"/>
    </row>
    <row r="830">
      <c r="F830" s="13"/>
      <c r="AY830" s="13"/>
    </row>
    <row r="831">
      <c r="F831" s="13"/>
      <c r="AY831" s="13"/>
    </row>
    <row r="832">
      <c r="F832" s="13"/>
      <c r="AY832" s="13"/>
    </row>
    <row r="833">
      <c r="F833" s="13"/>
      <c r="AY833" s="13"/>
    </row>
    <row r="834">
      <c r="F834" s="13"/>
      <c r="AY834" s="13"/>
    </row>
    <row r="835">
      <c r="F835" s="13"/>
      <c r="AY835" s="13"/>
    </row>
    <row r="836">
      <c r="F836" s="13"/>
      <c r="AY836" s="13"/>
    </row>
    <row r="837">
      <c r="F837" s="13"/>
      <c r="AY837" s="13"/>
    </row>
    <row r="838">
      <c r="F838" s="13"/>
      <c r="AY838" s="13"/>
    </row>
    <row r="839">
      <c r="F839" s="13"/>
      <c r="AY839" s="13"/>
    </row>
    <row r="840">
      <c r="F840" s="13"/>
      <c r="AY840" s="13"/>
    </row>
    <row r="841">
      <c r="F841" s="13"/>
      <c r="AY841" s="13"/>
    </row>
    <row r="842">
      <c r="F842" s="13"/>
      <c r="AY842" s="13"/>
    </row>
    <row r="843">
      <c r="F843" s="13"/>
      <c r="AY843" s="13"/>
    </row>
    <row r="844">
      <c r="F844" s="13"/>
      <c r="AY844" s="13"/>
    </row>
    <row r="845">
      <c r="F845" s="13"/>
      <c r="AY845" s="13"/>
    </row>
    <row r="846">
      <c r="F846" s="13"/>
      <c r="AY846" s="13"/>
    </row>
    <row r="847">
      <c r="F847" s="13"/>
      <c r="AY847" s="13"/>
    </row>
    <row r="848">
      <c r="F848" s="13"/>
      <c r="AY848" s="13"/>
    </row>
    <row r="849">
      <c r="F849" s="13"/>
      <c r="AY849" s="13"/>
    </row>
    <row r="850">
      <c r="F850" s="13"/>
      <c r="AY850" s="13"/>
    </row>
    <row r="851">
      <c r="F851" s="13"/>
      <c r="AY851" s="13"/>
    </row>
    <row r="852">
      <c r="F852" s="13"/>
      <c r="AY852" s="13"/>
    </row>
    <row r="853">
      <c r="F853" s="13"/>
      <c r="AY853" s="13"/>
    </row>
    <row r="854">
      <c r="F854" s="13"/>
      <c r="AY854" s="13"/>
    </row>
    <row r="855">
      <c r="F855" s="13"/>
      <c r="AY855" s="13"/>
    </row>
    <row r="856">
      <c r="F856" s="13"/>
      <c r="AY856" s="13"/>
    </row>
    <row r="857">
      <c r="F857" s="13"/>
      <c r="AY857" s="13"/>
    </row>
    <row r="858">
      <c r="F858" s="13"/>
      <c r="AY858" s="13"/>
    </row>
    <row r="859">
      <c r="F859" s="13"/>
      <c r="AY859" s="13"/>
    </row>
    <row r="860">
      <c r="F860" s="13"/>
      <c r="AY860" s="13"/>
    </row>
    <row r="861">
      <c r="F861" s="13"/>
      <c r="AY861" s="13"/>
    </row>
    <row r="862">
      <c r="F862" s="13"/>
      <c r="AY862" s="13"/>
    </row>
    <row r="863">
      <c r="F863" s="13"/>
      <c r="AY863" s="13"/>
    </row>
    <row r="864">
      <c r="F864" s="13"/>
      <c r="AY864" s="13"/>
    </row>
    <row r="865">
      <c r="F865" s="13"/>
      <c r="AY865" s="13"/>
    </row>
    <row r="866">
      <c r="F866" s="13"/>
      <c r="AY866" s="13"/>
    </row>
    <row r="867">
      <c r="F867" s="13"/>
      <c r="AY867" s="13"/>
    </row>
    <row r="868">
      <c r="F868" s="13"/>
      <c r="AY868" s="13"/>
    </row>
    <row r="869">
      <c r="F869" s="13"/>
      <c r="AY869" s="13"/>
    </row>
    <row r="870">
      <c r="F870" s="13"/>
      <c r="AY870" s="13"/>
    </row>
    <row r="871">
      <c r="F871" s="13"/>
      <c r="AY871" s="13"/>
    </row>
    <row r="872">
      <c r="F872" s="13"/>
      <c r="AY872" s="13"/>
    </row>
    <row r="873">
      <c r="F873" s="13"/>
      <c r="AY873" s="13"/>
    </row>
    <row r="874">
      <c r="F874" s="13"/>
      <c r="AY874" s="13"/>
    </row>
    <row r="875">
      <c r="F875" s="13"/>
      <c r="AY875" s="13"/>
    </row>
    <row r="876">
      <c r="F876" s="13"/>
      <c r="AY876" s="13"/>
    </row>
    <row r="877">
      <c r="F877" s="13"/>
      <c r="AY877" s="13"/>
    </row>
    <row r="878">
      <c r="F878" s="13"/>
      <c r="AY878" s="13"/>
    </row>
    <row r="879">
      <c r="F879" s="13"/>
      <c r="AY879" s="13"/>
    </row>
    <row r="880">
      <c r="F880" s="13"/>
      <c r="AY880" s="13"/>
    </row>
    <row r="881">
      <c r="F881" s="13"/>
      <c r="AY881" s="13"/>
    </row>
    <row r="882">
      <c r="F882" s="13"/>
      <c r="AY882" s="13"/>
    </row>
    <row r="883">
      <c r="F883" s="13"/>
      <c r="AY883" s="13"/>
    </row>
    <row r="884">
      <c r="F884" s="13"/>
      <c r="AY884" s="13"/>
    </row>
    <row r="885">
      <c r="F885" s="13"/>
      <c r="AY885" s="13"/>
    </row>
    <row r="886">
      <c r="F886" s="13"/>
      <c r="AY886" s="13"/>
    </row>
    <row r="887">
      <c r="F887" s="13"/>
      <c r="AY887" s="13"/>
    </row>
    <row r="888">
      <c r="F888" s="13"/>
      <c r="AY888" s="13"/>
    </row>
    <row r="889">
      <c r="F889" s="13"/>
      <c r="AY889" s="13"/>
    </row>
    <row r="890">
      <c r="F890" s="13"/>
      <c r="AY890" s="13"/>
    </row>
    <row r="891">
      <c r="F891" s="13"/>
      <c r="AY891" s="13"/>
    </row>
    <row r="892">
      <c r="F892" s="13"/>
      <c r="AY892" s="13"/>
    </row>
    <row r="893">
      <c r="F893" s="13"/>
      <c r="AY893" s="13"/>
    </row>
    <row r="894">
      <c r="F894" s="13"/>
      <c r="AY894" s="13"/>
    </row>
    <row r="895">
      <c r="F895" s="13"/>
      <c r="AY895" s="13"/>
    </row>
    <row r="896">
      <c r="F896" s="13"/>
      <c r="AY896" s="13"/>
    </row>
    <row r="897">
      <c r="F897" s="13"/>
      <c r="AY897" s="13"/>
    </row>
    <row r="898">
      <c r="F898" s="13"/>
      <c r="AY898" s="13"/>
    </row>
    <row r="899">
      <c r="F899" s="13"/>
      <c r="AY899" s="13"/>
    </row>
    <row r="900">
      <c r="F900" s="13"/>
      <c r="AY900" s="13"/>
    </row>
    <row r="901">
      <c r="F901" s="13"/>
      <c r="AY901" s="13"/>
    </row>
    <row r="902">
      <c r="F902" s="13"/>
      <c r="AY902" s="13"/>
    </row>
    <row r="903">
      <c r="F903" s="13"/>
      <c r="AY903" s="13"/>
    </row>
    <row r="904">
      <c r="F904" s="13"/>
      <c r="AY904" s="13"/>
    </row>
    <row r="905">
      <c r="F905" s="13"/>
      <c r="AY905" s="13"/>
    </row>
    <row r="906">
      <c r="F906" s="13"/>
      <c r="AY906" s="13"/>
    </row>
    <row r="907">
      <c r="F907" s="13"/>
      <c r="AY907" s="13"/>
    </row>
    <row r="908">
      <c r="F908" s="13"/>
      <c r="AY908" s="13"/>
    </row>
    <row r="909">
      <c r="F909" s="13"/>
      <c r="AY909" s="13"/>
    </row>
    <row r="910">
      <c r="F910" s="13"/>
      <c r="AY910" s="13"/>
    </row>
    <row r="911">
      <c r="F911" s="13"/>
      <c r="AY911" s="13"/>
    </row>
    <row r="912">
      <c r="F912" s="13"/>
      <c r="AY912" s="13"/>
    </row>
    <row r="913">
      <c r="F913" s="13"/>
      <c r="AY913" s="13"/>
    </row>
    <row r="914">
      <c r="F914" s="13"/>
      <c r="AY914" s="13"/>
    </row>
    <row r="915">
      <c r="F915" s="13"/>
      <c r="AY915" s="13"/>
    </row>
    <row r="916">
      <c r="F916" s="13"/>
      <c r="AY916" s="13"/>
    </row>
    <row r="917">
      <c r="F917" s="13"/>
      <c r="AY917" s="13"/>
    </row>
    <row r="918">
      <c r="F918" s="13"/>
      <c r="AY918" s="13"/>
    </row>
    <row r="919">
      <c r="F919" s="13"/>
      <c r="AY919" s="13"/>
    </row>
    <row r="920">
      <c r="F920" s="13"/>
      <c r="AY920" s="13"/>
    </row>
    <row r="921">
      <c r="F921" s="13"/>
      <c r="AY921" s="13"/>
    </row>
    <row r="922">
      <c r="F922" s="13"/>
      <c r="AY922" s="13"/>
    </row>
    <row r="923">
      <c r="F923" s="13"/>
      <c r="AY923" s="13"/>
    </row>
    <row r="924">
      <c r="F924" s="13"/>
      <c r="AY924" s="13"/>
    </row>
    <row r="925">
      <c r="F925" s="13"/>
      <c r="AY925" s="13"/>
    </row>
    <row r="926">
      <c r="F926" s="13"/>
      <c r="AY926" s="13"/>
    </row>
    <row r="927">
      <c r="F927" s="13"/>
      <c r="AY927" s="13"/>
    </row>
    <row r="928">
      <c r="F928" s="13"/>
      <c r="AY928" s="13"/>
    </row>
    <row r="929">
      <c r="F929" s="13"/>
      <c r="AY929" s="13"/>
    </row>
    <row r="930">
      <c r="F930" s="13"/>
      <c r="AY930" s="13"/>
    </row>
    <row r="931">
      <c r="F931" s="13"/>
      <c r="AY931" s="13"/>
    </row>
    <row r="932">
      <c r="F932" s="13"/>
      <c r="AY932" s="13"/>
    </row>
    <row r="933">
      <c r="F933" s="13"/>
      <c r="AY933" s="13"/>
    </row>
    <row r="934">
      <c r="F934" s="13"/>
      <c r="AY934" s="13"/>
    </row>
    <row r="935">
      <c r="F935" s="13"/>
      <c r="AY935" s="13"/>
    </row>
    <row r="936">
      <c r="F936" s="13"/>
      <c r="AY936" s="13"/>
    </row>
    <row r="937">
      <c r="F937" s="13"/>
      <c r="AY937" s="13"/>
    </row>
    <row r="938">
      <c r="F938" s="13"/>
      <c r="AY938" s="13"/>
    </row>
    <row r="939">
      <c r="F939" s="13"/>
      <c r="AY939" s="13"/>
    </row>
    <row r="940">
      <c r="F940" s="13"/>
      <c r="AY940" s="13"/>
    </row>
    <row r="941">
      <c r="F941" s="13"/>
      <c r="AY941" s="13"/>
    </row>
    <row r="942">
      <c r="F942" s="13"/>
      <c r="AY942" s="13"/>
    </row>
    <row r="943">
      <c r="F943" s="13"/>
      <c r="AY943" s="13"/>
    </row>
    <row r="944">
      <c r="F944" s="13"/>
      <c r="AY944" s="13"/>
    </row>
    <row r="945">
      <c r="F945" s="13"/>
      <c r="AY945" s="13"/>
    </row>
    <row r="946">
      <c r="F946" s="13"/>
      <c r="AY946" s="13"/>
    </row>
    <row r="947">
      <c r="F947" s="13"/>
      <c r="AY947" s="13"/>
    </row>
    <row r="948">
      <c r="F948" s="13"/>
      <c r="AY948" s="13"/>
    </row>
    <row r="949">
      <c r="F949" s="13"/>
      <c r="AY949" s="13"/>
    </row>
    <row r="950">
      <c r="F950" s="13"/>
      <c r="AY950" s="13"/>
    </row>
    <row r="951">
      <c r="F951" s="13"/>
      <c r="AY951" s="13"/>
    </row>
    <row r="952">
      <c r="F952" s="13"/>
      <c r="AY952" s="13"/>
    </row>
    <row r="953">
      <c r="F953" s="13"/>
      <c r="AY953" s="13"/>
    </row>
    <row r="954">
      <c r="F954" s="13"/>
      <c r="AY954" s="13"/>
    </row>
    <row r="955">
      <c r="F955" s="13"/>
      <c r="AY955" s="13"/>
    </row>
    <row r="956">
      <c r="F956" s="13"/>
      <c r="AY956" s="13"/>
    </row>
    <row r="957">
      <c r="F957" s="13"/>
      <c r="AY957" s="13"/>
    </row>
    <row r="958">
      <c r="F958" s="13"/>
      <c r="AY958" s="13"/>
    </row>
    <row r="959">
      <c r="F959" s="13"/>
      <c r="AY959" s="13"/>
    </row>
    <row r="960">
      <c r="F960" s="13"/>
      <c r="AY960" s="13"/>
    </row>
    <row r="961">
      <c r="F961" s="13"/>
      <c r="AY961" s="13"/>
    </row>
    <row r="962">
      <c r="F962" s="13"/>
      <c r="AY962" s="13"/>
    </row>
    <row r="963">
      <c r="F963" s="13"/>
      <c r="AY963" s="13"/>
    </row>
    <row r="964">
      <c r="F964" s="13"/>
      <c r="AY964" s="13"/>
    </row>
    <row r="965">
      <c r="F965" s="13"/>
      <c r="AY965" s="13"/>
    </row>
    <row r="966">
      <c r="F966" s="13"/>
      <c r="AY966" s="13"/>
    </row>
    <row r="967">
      <c r="F967" s="13"/>
      <c r="AY967" s="13"/>
    </row>
    <row r="968">
      <c r="F968" s="13"/>
      <c r="AY968" s="13"/>
    </row>
    <row r="969">
      <c r="F969" s="13"/>
      <c r="AY969" s="13"/>
    </row>
    <row r="970">
      <c r="F970" s="13"/>
      <c r="AY970" s="13"/>
    </row>
    <row r="971">
      <c r="F971" s="13"/>
      <c r="AY971" s="13"/>
    </row>
    <row r="972">
      <c r="F972" s="13"/>
      <c r="AY972" s="13"/>
    </row>
    <row r="973">
      <c r="F973" s="13"/>
      <c r="AY973" s="13"/>
    </row>
    <row r="974">
      <c r="F974" s="13"/>
      <c r="AY974" s="13"/>
    </row>
    <row r="975">
      <c r="F975" s="13"/>
      <c r="AY975" s="13"/>
    </row>
    <row r="976">
      <c r="F976" s="13"/>
      <c r="AY976" s="13"/>
    </row>
    <row r="977">
      <c r="F977" s="13"/>
      <c r="AY977" s="13"/>
    </row>
    <row r="978">
      <c r="F978" s="13"/>
      <c r="AY978" s="13"/>
    </row>
    <row r="979">
      <c r="F979" s="13"/>
      <c r="AY979" s="13"/>
    </row>
    <row r="980">
      <c r="F980" s="13"/>
      <c r="AY980" s="13"/>
    </row>
    <row r="981">
      <c r="F981" s="13"/>
      <c r="AY981" s="13"/>
    </row>
    <row r="982">
      <c r="F982" s="13"/>
      <c r="AY982" s="13"/>
    </row>
    <row r="983">
      <c r="F983" s="13"/>
      <c r="AY983" s="13"/>
    </row>
    <row r="984">
      <c r="F984" s="13"/>
      <c r="AY984" s="13"/>
    </row>
    <row r="985">
      <c r="F985" s="13"/>
      <c r="AY985" s="13"/>
    </row>
    <row r="986">
      <c r="F986" s="13"/>
      <c r="AY986" s="13"/>
    </row>
    <row r="987">
      <c r="F987" s="13"/>
      <c r="AY987" s="13"/>
    </row>
    <row r="988">
      <c r="F988" s="13"/>
      <c r="AY988" s="13"/>
    </row>
    <row r="989">
      <c r="F989" s="13"/>
      <c r="AY989" s="13"/>
    </row>
    <row r="990">
      <c r="F990" s="13"/>
      <c r="AY990" s="13"/>
    </row>
    <row r="991">
      <c r="F991" s="13"/>
      <c r="AY991" s="13"/>
    </row>
    <row r="992">
      <c r="F992" s="13"/>
      <c r="AY992" s="13"/>
    </row>
    <row r="993">
      <c r="F993" s="13"/>
      <c r="AY993" s="13"/>
    </row>
    <row r="994">
      <c r="F994" s="13"/>
      <c r="AY994" s="13"/>
    </row>
    <row r="995">
      <c r="F995" s="13"/>
      <c r="AY995" s="13"/>
    </row>
    <row r="996">
      <c r="F996" s="13"/>
      <c r="AY996" s="13"/>
    </row>
    <row r="997">
      <c r="F997" s="13"/>
      <c r="AY997" s="13"/>
    </row>
    <row r="998">
      <c r="F998" s="13"/>
      <c r="AY998" s="13"/>
    </row>
    <row r="999">
      <c r="F999" s="13"/>
      <c r="AY999" s="13"/>
    </row>
    <row r="1000">
      <c r="F1000" s="13"/>
      <c r="AY1000" s="13"/>
    </row>
  </sheetData>
  <conditionalFormatting sqref="B18:AZ18">
    <cfRule type="cellIs" dxfId="5" priority="1" operator="lessThan">
      <formula>3.4</formula>
    </cfRule>
  </conditionalFormatting>
  <drawing r:id="rId1"/>
</worksheet>
</file>